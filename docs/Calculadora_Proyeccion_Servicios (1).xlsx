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13_ncr:1_{05499A84-5E6A-5C40-B9B9-CE8956582944}" xr6:coauthVersionLast="47" xr6:coauthVersionMax="47" xr10:uidLastSave="{00000000-0000-0000-0000-000000000000}"/>
  <bookViews>
    <workbookView xWindow="0" yWindow="600" windowWidth="25600" windowHeight="15960" activeTab="4" xr2:uid="{00000000-000D-0000-FFFF-FFFF00000000}"/>
  </bookViews>
  <sheets>
    <sheet name="0. Guía" sheetId="1" r:id="rId1"/>
    <sheet name="1. Configuración" sheetId="2" r:id="rId2"/>
    <sheet name="2. Estacionalidad" sheetId="3" r:id="rId3"/>
    <sheet name="3. Matriz Proyección" sheetId="4" r:id="rId4"/>
    <sheet name="4. Facturación" sheetId="5" r:id="rId5"/>
    <sheet name="5. Dashboar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  <c r="M29" i="4"/>
  <c r="O40" i="5" s="1"/>
  <c r="J29" i="4"/>
  <c r="L40" i="5" s="1"/>
  <c r="H29" i="4"/>
  <c r="J40" i="5" s="1"/>
  <c r="G29" i="4"/>
  <c r="I40" i="5" s="1"/>
  <c r="E29" i="4"/>
  <c r="G40" i="5" s="1"/>
  <c r="B29" i="4"/>
  <c r="N28" i="4"/>
  <c r="P36" i="5" s="1"/>
  <c r="M28" i="4"/>
  <c r="O36" i="5" s="1"/>
  <c r="K28" i="4"/>
  <c r="M36" i="5" s="1"/>
  <c r="H28" i="4"/>
  <c r="J36" i="5" s="1"/>
  <c r="F28" i="4"/>
  <c r="H36" i="5" s="1"/>
  <c r="E28" i="4"/>
  <c r="G36" i="5" s="1"/>
  <c r="C28" i="4"/>
  <c r="E36" i="5" s="1"/>
  <c r="B26" i="4"/>
  <c r="B25" i="4"/>
  <c r="B22" i="4"/>
  <c r="B21" i="4"/>
  <c r="D16" i="4"/>
  <c r="C16" i="4"/>
  <c r="L29" i="4" s="1"/>
  <c r="N40" i="5" s="1"/>
  <c r="B16" i="4"/>
  <c r="C15" i="4"/>
  <c r="J28" i="4" s="1"/>
  <c r="L36" i="5" s="1"/>
  <c r="B15" i="4"/>
  <c r="B28" i="4" s="1"/>
  <c r="C14" i="4"/>
  <c r="B14" i="4"/>
  <c r="C13" i="4"/>
  <c r="B13" i="4"/>
  <c r="D12" i="4"/>
  <c r="C12" i="4"/>
  <c r="B12" i="4"/>
  <c r="D11" i="4"/>
  <c r="C11" i="4"/>
  <c r="B11" i="4"/>
  <c r="C10" i="4"/>
  <c r="B10" i="4"/>
  <c r="C9" i="4"/>
  <c r="B9" i="4"/>
  <c r="D8" i="4"/>
  <c r="C8" i="4"/>
  <c r="B8" i="4"/>
  <c r="C5" i="4"/>
  <c r="C4" i="4"/>
  <c r="C3" i="4"/>
  <c r="C3" i="3"/>
  <c r="C16" i="3" s="1"/>
  <c r="C13" i="6" s="1"/>
  <c r="F20" i="2"/>
  <c r="F19" i="2"/>
  <c r="D15" i="4" s="1"/>
  <c r="F18" i="2"/>
  <c r="D14" i="4" s="1"/>
  <c r="F17" i="2"/>
  <c r="D13" i="4" s="1"/>
  <c r="F16" i="2"/>
  <c r="F15" i="2"/>
  <c r="F14" i="2"/>
  <c r="D10" i="4" s="1"/>
  <c r="F13" i="2"/>
  <c r="D9" i="4" s="1"/>
  <c r="F12" i="2"/>
  <c r="C11" i="3" l="1"/>
  <c r="C12" i="3"/>
  <c r="H27" i="4" s="1"/>
  <c r="J32" i="5" s="1"/>
  <c r="C17" i="3"/>
  <c r="C14" i="6" s="1"/>
  <c r="C8" i="6"/>
  <c r="B24" i="4"/>
  <c r="E11" i="4"/>
  <c r="C14" i="3"/>
  <c r="J27" i="4" s="1"/>
  <c r="L32" i="5" s="1"/>
  <c r="E8" i="4"/>
  <c r="E12" i="4"/>
  <c r="E16" i="4"/>
  <c r="B23" i="4"/>
  <c r="B27" i="4"/>
  <c r="D28" i="4"/>
  <c r="F36" i="5" s="1"/>
  <c r="L28" i="4"/>
  <c r="N36" i="5" s="1"/>
  <c r="F29" i="4"/>
  <c r="H40" i="5" s="1"/>
  <c r="N29" i="4"/>
  <c r="P40" i="5" s="1"/>
  <c r="E15" i="4"/>
  <c r="C7" i="3"/>
  <c r="C15" i="3"/>
  <c r="G28" i="4"/>
  <c r="I36" i="5" s="1"/>
  <c r="I29" i="4"/>
  <c r="K40" i="5" s="1"/>
  <c r="L27" i="4"/>
  <c r="N32" i="5" s="1"/>
  <c r="C10" i="3"/>
  <c r="F27" i="4" s="1"/>
  <c r="H32" i="5" s="1"/>
  <c r="C18" i="3"/>
  <c r="N27" i="4" s="1"/>
  <c r="P32" i="5" s="1"/>
  <c r="E10" i="4"/>
  <c r="E14" i="4"/>
  <c r="C13" i="3"/>
  <c r="G27" i="4"/>
  <c r="I32" i="5" s="1"/>
  <c r="I28" i="4"/>
  <c r="K36" i="5" s="1"/>
  <c r="C29" i="4"/>
  <c r="K29" i="4"/>
  <c r="M40" i="5" s="1"/>
  <c r="C9" i="3"/>
  <c r="E27" i="4" s="1"/>
  <c r="G32" i="5" s="1"/>
  <c r="C4" i="3"/>
  <c r="D16" i="3" s="1"/>
  <c r="E16" i="3" s="1"/>
  <c r="C8" i="3"/>
  <c r="E9" i="4"/>
  <c r="E13" i="4"/>
  <c r="D29" i="4"/>
  <c r="F40" i="5" s="1"/>
  <c r="C9" i="6" l="1"/>
  <c r="M27" i="4"/>
  <c r="O32" i="5" s="1"/>
  <c r="D17" i="3"/>
  <c r="E17" i="3" s="1"/>
  <c r="D27" i="4"/>
  <c r="F32" i="5" s="1"/>
  <c r="C5" i="6"/>
  <c r="D8" i="3"/>
  <c r="E8" i="3" s="1"/>
  <c r="D18" i="3"/>
  <c r="E18" i="3" s="1"/>
  <c r="C15" i="6"/>
  <c r="C27" i="4"/>
  <c r="D7" i="3"/>
  <c r="E7" i="3" s="1"/>
  <c r="C4" i="6"/>
  <c r="F3" i="4"/>
  <c r="D12" i="3"/>
  <c r="E12" i="3" s="1"/>
  <c r="O29" i="4"/>
  <c r="E40" i="5"/>
  <c r="D13" i="3"/>
  <c r="E13" i="3" s="1"/>
  <c r="I27" i="4"/>
  <c r="K32" i="5" s="1"/>
  <c r="C10" i="6"/>
  <c r="D11" i="3"/>
  <c r="E11" i="3" s="1"/>
  <c r="K27" i="4"/>
  <c r="M32" i="5" s="1"/>
  <c r="D15" i="3"/>
  <c r="E15" i="3" s="1"/>
  <c r="C12" i="6"/>
  <c r="D10" i="3"/>
  <c r="E10" i="3" s="1"/>
  <c r="C7" i="6"/>
  <c r="O28" i="4"/>
  <c r="C6" i="6"/>
  <c r="D9" i="3"/>
  <c r="E9" i="3" s="1"/>
  <c r="C17" i="4"/>
  <c r="C11" i="6"/>
  <c r="D14" i="3"/>
  <c r="E14" i="3" s="1"/>
  <c r="C16" i="6" l="1"/>
  <c r="O27" i="4"/>
  <c r="E32" i="5"/>
  <c r="I3" i="4"/>
  <c r="F14" i="4"/>
  <c r="G14" i="4" s="1"/>
  <c r="F4" i="4"/>
  <c r="F15" i="4" s="1"/>
  <c r="G15" i="4" s="1"/>
  <c r="F9" i="4" l="1"/>
  <c r="G9" i="4" s="1"/>
  <c r="D22" i="4" s="1"/>
  <c r="F12" i="5" s="1"/>
  <c r="F10" i="4"/>
  <c r="G10" i="4" s="1"/>
  <c r="I22" i="4"/>
  <c r="K12" i="5" s="1"/>
  <c r="G22" i="4"/>
  <c r="I12" i="5" s="1"/>
  <c r="J22" i="4"/>
  <c r="L12" i="5" s="1"/>
  <c r="N22" i="4"/>
  <c r="P12" i="5" s="1"/>
  <c r="M22" i="4"/>
  <c r="O12" i="5" s="1"/>
  <c r="H22" i="4"/>
  <c r="J12" i="5" s="1"/>
  <c r="C22" i="4"/>
  <c r="L22" i="4"/>
  <c r="N12" i="5" s="1"/>
  <c r="F22" i="4"/>
  <c r="H12" i="5" s="1"/>
  <c r="K22" i="4"/>
  <c r="M12" i="5" s="1"/>
  <c r="F12" i="4"/>
  <c r="G12" i="4" s="1"/>
  <c r="F13" i="4"/>
  <c r="G13" i="4" s="1"/>
  <c r="F16" i="4"/>
  <c r="G16" i="4" s="1"/>
  <c r="C23" i="4"/>
  <c r="K23" i="4"/>
  <c r="M16" i="5" s="1"/>
  <c r="I23" i="4"/>
  <c r="K16" i="5" s="1"/>
  <c r="F23" i="4"/>
  <c r="H16" i="5" s="1"/>
  <c r="H23" i="4"/>
  <c r="J16" i="5" s="1"/>
  <c r="D23" i="4"/>
  <c r="F16" i="5" s="1"/>
  <c r="L23" i="4"/>
  <c r="N16" i="5" s="1"/>
  <c r="G23" i="4"/>
  <c r="I16" i="5" s="1"/>
  <c r="E23" i="4"/>
  <c r="G16" i="5" s="1"/>
  <c r="N23" i="4"/>
  <c r="P16" i="5" s="1"/>
  <c r="M23" i="4"/>
  <c r="O16" i="5" s="1"/>
  <c r="J23" i="4"/>
  <c r="L16" i="5" s="1"/>
  <c r="F8" i="4"/>
  <c r="G8" i="4" s="1"/>
  <c r="F11" i="4"/>
  <c r="G11" i="4" s="1"/>
  <c r="E22" i="4" l="1"/>
  <c r="G12" i="5" s="1"/>
  <c r="O23" i="4"/>
  <c r="E16" i="5"/>
  <c r="G26" i="4"/>
  <c r="I28" i="5" s="1"/>
  <c r="I26" i="4"/>
  <c r="K28" i="5" s="1"/>
  <c r="J26" i="4"/>
  <c r="L28" i="5" s="1"/>
  <c r="C26" i="4"/>
  <c r="K26" i="4"/>
  <c r="M28" i="5" s="1"/>
  <c r="D26" i="4"/>
  <c r="F28" i="5" s="1"/>
  <c r="H26" i="4"/>
  <c r="J28" i="5" s="1"/>
  <c r="N26" i="4"/>
  <c r="P28" i="5" s="1"/>
  <c r="L26" i="4"/>
  <c r="N28" i="5" s="1"/>
  <c r="F26" i="4"/>
  <c r="H28" i="5" s="1"/>
  <c r="M26" i="4"/>
  <c r="O28" i="5" s="1"/>
  <c r="E26" i="4"/>
  <c r="G28" i="5" s="1"/>
  <c r="M24" i="4"/>
  <c r="O20" i="5" s="1"/>
  <c r="C24" i="4"/>
  <c r="H24" i="4"/>
  <c r="J20" i="5" s="1"/>
  <c r="E24" i="4"/>
  <c r="G20" i="5" s="1"/>
  <c r="N24" i="4"/>
  <c r="P20" i="5" s="1"/>
  <c r="F24" i="4"/>
  <c r="H20" i="5" s="1"/>
  <c r="K24" i="4"/>
  <c r="M20" i="5" s="1"/>
  <c r="D24" i="4"/>
  <c r="F20" i="5" s="1"/>
  <c r="L24" i="4"/>
  <c r="N20" i="5" s="1"/>
  <c r="I24" i="4"/>
  <c r="K20" i="5" s="1"/>
  <c r="J24" i="4"/>
  <c r="L20" i="5" s="1"/>
  <c r="G24" i="4"/>
  <c r="I20" i="5" s="1"/>
  <c r="M25" i="4"/>
  <c r="O24" i="5" s="1"/>
  <c r="E25" i="4"/>
  <c r="G24" i="5" s="1"/>
  <c r="J25" i="4"/>
  <c r="L24" i="5" s="1"/>
  <c r="H25" i="4"/>
  <c r="J24" i="5" s="1"/>
  <c r="G25" i="4"/>
  <c r="I24" i="5" s="1"/>
  <c r="D25" i="4"/>
  <c r="F24" i="5" s="1"/>
  <c r="L25" i="4"/>
  <c r="N24" i="5" s="1"/>
  <c r="F25" i="4"/>
  <c r="H24" i="5" s="1"/>
  <c r="N25" i="4"/>
  <c r="P24" i="5" s="1"/>
  <c r="C25" i="4"/>
  <c r="K25" i="4"/>
  <c r="M24" i="5" s="1"/>
  <c r="I25" i="4"/>
  <c r="K24" i="5" s="1"/>
  <c r="J21" i="4"/>
  <c r="G21" i="4"/>
  <c r="H21" i="4"/>
  <c r="E21" i="4"/>
  <c r="M21" i="4"/>
  <c r="L21" i="4"/>
  <c r="D21" i="4"/>
  <c r="N21" i="4"/>
  <c r="I21" i="4"/>
  <c r="F21" i="4"/>
  <c r="K21" i="4"/>
  <c r="C21" i="4"/>
  <c r="E12" i="5"/>
  <c r="O22" i="4"/>
  <c r="D30" i="4" l="1"/>
  <c r="D5" i="6" s="1"/>
  <c r="E5" i="6" s="1"/>
  <c r="F8" i="5"/>
  <c r="F42" i="5" s="1"/>
  <c r="F30" i="4"/>
  <c r="D7" i="6" s="1"/>
  <c r="E7" i="6" s="1"/>
  <c r="H8" i="5"/>
  <c r="H42" i="5" s="1"/>
  <c r="E20" i="5"/>
  <c r="O24" i="4"/>
  <c r="N30" i="4"/>
  <c r="D15" i="6" s="1"/>
  <c r="E15" i="6" s="1"/>
  <c r="P8" i="5"/>
  <c r="P42" i="5" s="1"/>
  <c r="E28" i="5"/>
  <c r="O26" i="4"/>
  <c r="O25" i="4"/>
  <c r="E24" i="5"/>
  <c r="G30" i="4"/>
  <c r="D8" i="6" s="1"/>
  <c r="E8" i="6" s="1"/>
  <c r="I8" i="5"/>
  <c r="I42" i="5" s="1"/>
  <c r="K8" i="5"/>
  <c r="K42" i="5" s="1"/>
  <c r="I30" i="4"/>
  <c r="D10" i="6" s="1"/>
  <c r="E10" i="6" s="1"/>
  <c r="J30" i="4"/>
  <c r="D11" i="6" s="1"/>
  <c r="E11" i="6" s="1"/>
  <c r="L8" i="5"/>
  <c r="L42" i="5" s="1"/>
  <c r="L30" i="4"/>
  <c r="D13" i="6" s="1"/>
  <c r="E13" i="6" s="1"/>
  <c r="N8" i="5"/>
  <c r="N42" i="5" s="1"/>
  <c r="E30" i="4"/>
  <c r="D6" i="6" s="1"/>
  <c r="E6" i="6" s="1"/>
  <c r="G8" i="5"/>
  <c r="G42" i="5" s="1"/>
  <c r="M30" i="4"/>
  <c r="D14" i="6" s="1"/>
  <c r="E14" i="6" s="1"/>
  <c r="O8" i="5"/>
  <c r="O42" i="5" s="1"/>
  <c r="C30" i="4"/>
  <c r="D4" i="6" s="1"/>
  <c r="O21" i="4"/>
  <c r="E8" i="5"/>
  <c r="K30" i="4"/>
  <c r="D12" i="6" s="1"/>
  <c r="E12" i="6" s="1"/>
  <c r="M8" i="5"/>
  <c r="M42" i="5" s="1"/>
  <c r="J8" i="5"/>
  <c r="J42" i="5" s="1"/>
  <c r="H30" i="4"/>
  <c r="D9" i="6" s="1"/>
  <c r="E9" i="6" s="1"/>
  <c r="E42" i="5" l="1"/>
  <c r="O30" i="4"/>
  <c r="D16" i="6"/>
  <c r="E4" i="6"/>
  <c r="E16" i="6" s="1"/>
</calcChain>
</file>

<file path=xl/sharedStrings.xml><?xml version="1.0" encoding="utf-8"?>
<sst xmlns="http://schemas.openxmlformats.org/spreadsheetml/2006/main" count="199" uniqueCount="102">
  <si>
    <t>Guía de Usuario — Calculadora de Proyección de Servicios</t>
  </si>
  <si>
    <t>Objetivo</t>
  </si>
  <si>
    <t>Este archivo distribuye un Presupuesto Total anual entre 9 unidades de negocio (6 base + 3 comodines), ajustado por Benchmarks de Mercado, Estacionalidad de Ventas y reglas fiscales/operativas (SAT).</t>
  </si>
  <si>
    <t>Paso a paso</t>
  </si>
  <si>
    <t>1) Ve a la pestaña '1. Configuración' y captura: Nombre del Cliente, Venta Anual Proyectada y Presupuesto Total a Contratar.</t>
  </si>
  <si>
    <t>2) Ajusta (si aplica) la tabla de Benchmarks de Mercado. Elige un % por servicio (dentro del rango sugerido).</t>
  </si>
  <si>
    <t>3) Activa/Desactiva servicios con el selector Sí/No. Solo los servicios activos participan en el cálculo.</t>
  </si>
  <si>
    <t>4) Ve a '2. Estacionalidad' e ingresa la venta mensual proyectada (12 meses).</t>
  </si>
  <si>
    <t>5) Revisa la '3. Matriz Proyección' para ver: (a) distribución anual por servicio, (b) montos mensuales ajustados por estacionalidad (FE), y (c) cálculo de Comisiones como % directo de la venta mensual.</t>
  </si>
  <si>
    <t>6) En '4. Facturación' completa los campos manuales por servicio: Concepto del servicio y Clave/Concepto SAT. Los montos mensuales están vinculados automáticamente a la Matriz.</t>
  </si>
  <si>
    <t>7) En '5. Dashboard' revisa el resumen y el gráfico (áreas apiladas + línea de ventas).</t>
  </si>
  <si>
    <t>Cálculo del Factor de Estacionalidad (FE)</t>
  </si>
  <si>
    <t>FE se calcula como la venta del mes dividida entre la venta mensual promedio (Venta Anual / 12).</t>
  </si>
  <si>
    <t>Fórmula: FE = Venta del Mes / (Venta Anual / 12)</t>
  </si>
  <si>
    <t>Interpretación: FE &gt; 1 = temporada alta. FE &lt; 1 = temporada baja.</t>
  </si>
  <si>
    <t>Benchmarks y activación de servicios</t>
  </si>
  <si>
    <t>Benchmarks: puedes usar el punto medio del rango sugerido o elegir un % específico por servicio. El archivo normaliza los pesos de mercado de los servicios ACTIVOS para distribuir el presupuesto.</t>
  </si>
  <si>
    <t>Comisiones: se calculan como % directo de la venta mensual. Por defecto, el archivo descuenta las comisiones del presupuesto total para distribuir el presupuesto restante entre los demás servicios activos.</t>
  </si>
  <si>
    <t>Leyenda de colores</t>
  </si>
  <si>
    <t>Celdas de entrada (captura manual)</t>
  </si>
  <si>
    <t>Celdas de resultado (fórmulas)</t>
  </si>
  <si>
    <t>Configuración (Inputs)</t>
  </si>
  <si>
    <t>Nombre del Cliente</t>
  </si>
  <si>
    <t>Venta Anual Proyectada</t>
  </si>
  <si>
    <t>Presupuesto Total a Contratar</t>
  </si>
  <si>
    <t>Industria (texto libre)</t>
  </si>
  <si>
    <t>Ejemplo: Servicios Profesionales</t>
  </si>
  <si>
    <t>Tasa de Comisión (industria)</t>
  </si>
  <si>
    <t>Benchmarks de Mercado (Editable)</t>
  </si>
  <si>
    <t>Servicio</t>
  </si>
  <si>
    <t>Tipo</t>
  </si>
  <si>
    <t>Mín %</t>
  </si>
  <si>
    <t>Máx %</t>
  </si>
  <si>
    <t>% Elegido</t>
  </si>
  <si>
    <t>Activo (Sí/No)</t>
  </si>
  <si>
    <t>Legal</t>
  </si>
  <si>
    <t>Base</t>
  </si>
  <si>
    <t>Sí</t>
  </si>
  <si>
    <t>Contable</t>
  </si>
  <si>
    <t>TI</t>
  </si>
  <si>
    <t>Marketing</t>
  </si>
  <si>
    <t>RH</t>
  </si>
  <si>
    <t>Admin</t>
  </si>
  <si>
    <t>Comisiones</t>
  </si>
  <si>
    <t>Comodín</t>
  </si>
  <si>
    <t>Logística</t>
  </si>
  <si>
    <t>No</t>
  </si>
  <si>
    <t>Construcción</t>
  </si>
  <si>
    <t>Notas:</t>
  </si>
  <si>
    <t>• Puedes editar rangos y % elegido. • Activa/Desactiva servicios con Sí/No. • Comisiones usa la tasa de C7.</t>
  </si>
  <si>
    <t>Curva de Estacionalidad (Ventas + FE)</t>
  </si>
  <si>
    <t>Venta anual (de Configuración)</t>
  </si>
  <si>
    <t>Venta mensual promedio (Venta anual / 12)</t>
  </si>
  <si>
    <t>Mes</t>
  </si>
  <si>
    <t>Venta mensual proyectada</t>
  </si>
  <si>
    <t>FE</t>
  </si>
  <si>
    <t>Temporada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</si>
  <si>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</si>
  <si>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</si>
  <si>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</si>
  <si>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</si>
  <si>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</si>
  <si>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</si>
  <si>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</si>
  <si>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</si>
  <si>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</si>
  <si>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</si>
  <si>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</si>
  <si>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</si>
  <si>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Tip:</t>
  </si>
  <si>
    <t>Puedes pegar aquí tu distribución mensual real/proyectada; el FE se recalcula automáticamente.</t>
  </si>
  <si>
    <t>Matriz de Proyección (Cálculos)</t>
  </si>
  <si>
    <t>Presupuesto total anual</t>
  </si>
  <si>
    <t>Comisiones anuales (calculadas)</t>
  </si>
  <si>
    <t>Alerta</t>
  </si>
  <si>
    <t>Venta anual</t>
  </si>
  <si>
    <t>Presupuesto restante (sin comisiones)</t>
  </si>
  <si>
    <t>Tasa comisión</t>
  </si>
  <si>
    <t>Activo</t>
  </si>
  <si>
    <t>Peso (solo activos)</t>
  </si>
  <si>
    <t>Asignación anual</t>
  </si>
  <si>
    <t>Asignación mensual base</t>
  </si>
  <si>
    <t>Suma pesos activos (sin comisiones)</t>
  </si>
  <si>
    <t>Montos mensuales (ajustados por FE)</t>
  </si>
  <si>
    <t>Total anual</t>
  </si>
  <si>
    <t>TOTAL</t>
  </si>
  <si>
    <t>Plan Detallado de Facturación (Operativo)</t>
  </si>
  <si>
    <t>Cliente</t>
  </si>
  <si>
    <t>Campo manual</t>
  </si>
  <si>
    <t>Contenido</t>
  </si>
  <si>
    <t>Concepto del Servicio a Prestar</t>
  </si>
  <si>
    <t>Clave/Concepto SAT para Facturación</t>
  </si>
  <si>
    <t>Montos mensuales (MXN)</t>
  </si>
  <si>
    <t>Vinculado</t>
  </si>
  <si>
    <t>TOTAL MENSUAL</t>
  </si>
  <si>
    <t>Suma de montos</t>
  </si>
  <si>
    <t>Dashboard Resumen</t>
  </si>
  <si>
    <t>Resumen: compara la curva de pagos (servicios) contra ventas y el presupuesto mensual promedio.</t>
  </si>
  <si>
    <t>Ventas</t>
  </si>
  <si>
    <t>Pago total (servicios)</t>
  </si>
  <si>
    <t>Diferencia (Pago - Presupuesto/12)</t>
  </si>
  <si>
    <t>Acme SA de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</si>
</sst>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2"/>
      <name val="Calibri"/>
    </font>
    <font>
      <b/>
      <sz val="11"/>
      <color rgb="FF1F4E79"/>
      <name val="Calibri"/>
    </font>
    <font>
      <b/>
      <sz val="14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i/>
      <sz val="11"/>
      <color rgb="FF555555"/>
      <name val="Calibri"/>
    </font>
    <font>
      <b/>
      <sz val="11"/>
      <color rgb="FFC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E7E6E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/>
    <xf numFmtId="0" fontId="0" fillId="2" borderId="1" xfId="0" applyFill="1" applyBorder="1"/>
    <xf numFmtId="0" fontId="0" fillId="3" borderId="1" xfId="0" applyFill="1" applyBorder="1"/>
    <xf numFmtId="0" fontId="4" fillId="0" borderId="0" xfId="0" applyFont="1"/>
    <xf numFmtId="0" fontId="5" fillId="0" borderId="0" xfId="0" applyFont="1"/>
    <xf numFmtId="0" fontId="0" fillId="2" borderId="1" xfId="0" applyFill="1" applyBorder="1" applyAlignment="1">
      <alignment horizontal="left" vertical="center"/>
    </xf>
    <xf numFmtId="164" fontId="0" fillId="2" borderId="1" xfId="0" applyNumberFormat="1" applyFill="1" applyBorder="1" applyAlignment="1">
      <alignment horizontal="left" vertical="center"/>
    </xf>
    <xf numFmtId="10" fontId="0" fillId="2" borderId="1" xfId="0" applyNumberForma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10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164" fontId="0" fillId="3" borderId="1" xfId="0" applyNumberFormat="1" applyFill="1" applyBorder="1"/>
    <xf numFmtId="164" fontId="0" fillId="2" borderId="1" xfId="0" applyNumberFormat="1" applyFill="1" applyBorder="1"/>
    <xf numFmtId="165" fontId="0" fillId="3" borderId="1" xfId="0" applyNumberFormat="1" applyFill="1" applyBorder="1"/>
    <xf numFmtId="0" fontId="0" fillId="3" borderId="1" xfId="0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horizontal="left" vertical="center"/>
    </xf>
    <xf numFmtId="10" fontId="0" fillId="3" borderId="1" xfId="0" applyNumberFormat="1" applyFill="1" applyBorder="1"/>
    <xf numFmtId="0" fontId="0" fillId="5" borderId="1" xfId="0" applyFill="1" applyBorder="1" applyAlignment="1">
      <alignment horizontal="left" vertical="center"/>
    </xf>
    <xf numFmtId="10" fontId="0" fillId="3" borderId="1" xfId="0" applyNumberForma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righ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top" wrapText="1"/>
    </xf>
    <xf numFmtId="0" fontId="0" fillId="7" borderId="1" xfId="0" applyFill="1" applyBorder="1"/>
    <xf numFmtId="0" fontId="0" fillId="6" borderId="1" xfId="0" applyFill="1" applyBorder="1"/>
    <xf numFmtId="0" fontId="2" fillId="0" borderId="0" xfId="0" applyFont="1"/>
    <xf numFmtId="0" fontId="0" fillId="0" borderId="0" xfId="0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MX"/>
              <a:t>Pagos mensuales por servicio (Área apilada) y Ventas (Línea)</a:t>
            </a:r>
          </a:p>
        </c:rich>
      </c:tx>
      <c:overlay val="1"/>
    </c:title>
    <c:autoTitleDeleted val="0"/>
    <c:plotArea>
      <c:layout/>
      <c:areaChart>
        <c:grouping val="stacked"/>
        <c:varyColors val="1"/>
        <c:ser>
          <c:idx val="0"/>
          <c:order val="0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 Matriz Proyección'!$C$20:$N$20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 Matriz Proyección'!$C$21:$C$29</c:f>
              <c:numCache>
                <c:formatCode>\$#,##0</c:formatCode>
                <c:ptCount val="9"/>
                <c:pt idx="0">
                  <c:v>155913.97849462365</c:v>
                </c:pt>
                <c:pt idx="1">
                  <c:v>233870.96774193548</c:v>
                </c:pt>
                <c:pt idx="2">
                  <c:v>428763.44086021511</c:v>
                </c:pt>
                <c:pt idx="3">
                  <c:v>974462.36559139797</c:v>
                </c:pt>
                <c:pt idx="4">
                  <c:v>311827.95698924729</c:v>
                </c:pt>
                <c:pt idx="5">
                  <c:v>311827.95698924729</c:v>
                </c:pt>
                <c:pt idx="6">
                  <c:v>83333.333333333328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0-9243-9610-1B53CDF130A4}"/>
            </c:ext>
          </c:extLst>
        </c:ser>
        <c:ser>
          <c:idx val="1"/>
          <c:order val="1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 Matriz Proyección'!$C$20:$N$20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 Matriz Proyección'!$D$21:$D$29</c:f>
              <c:numCache>
                <c:formatCode>\$#,##0</c:formatCode>
                <c:ptCount val="9"/>
                <c:pt idx="0">
                  <c:v>155913.97849462365</c:v>
                </c:pt>
                <c:pt idx="1">
                  <c:v>233870.96774193548</c:v>
                </c:pt>
                <c:pt idx="2">
                  <c:v>428763.44086021511</c:v>
                </c:pt>
                <c:pt idx="3">
                  <c:v>974462.36559139797</c:v>
                </c:pt>
                <c:pt idx="4">
                  <c:v>311827.95698924729</c:v>
                </c:pt>
                <c:pt idx="5">
                  <c:v>311827.95698924729</c:v>
                </c:pt>
                <c:pt idx="6">
                  <c:v>83333.333333333328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B0-9243-9610-1B53CDF130A4}"/>
            </c:ext>
          </c:extLst>
        </c:ser>
        <c:ser>
          <c:idx val="2"/>
          <c:order val="2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 Matriz Proyección'!$C$20:$N$20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 Matriz Proyección'!$E$21:$E$29</c:f>
              <c:numCache>
                <c:formatCode>\$#,##0</c:formatCode>
                <c:ptCount val="9"/>
                <c:pt idx="0">
                  <c:v>155913.97849462365</c:v>
                </c:pt>
                <c:pt idx="1">
                  <c:v>233870.96774193548</c:v>
                </c:pt>
                <c:pt idx="2">
                  <c:v>428763.44086021511</c:v>
                </c:pt>
                <c:pt idx="3">
                  <c:v>974462.36559139797</c:v>
                </c:pt>
                <c:pt idx="4">
                  <c:v>311827.95698924729</c:v>
                </c:pt>
                <c:pt idx="5">
                  <c:v>311827.95698924729</c:v>
                </c:pt>
                <c:pt idx="6">
                  <c:v>83333.333333333328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B0-9243-9610-1B53CDF130A4}"/>
            </c:ext>
          </c:extLst>
        </c:ser>
        <c:ser>
          <c:idx val="3"/>
          <c:order val="3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 Matriz Proyección'!$C$20:$N$20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 Matriz Proyección'!$F$21:$F$29</c:f>
              <c:numCache>
                <c:formatCode>\$#,##0</c:formatCode>
                <c:ptCount val="9"/>
                <c:pt idx="0">
                  <c:v>155913.97849462365</c:v>
                </c:pt>
                <c:pt idx="1">
                  <c:v>233870.96774193548</c:v>
                </c:pt>
                <c:pt idx="2">
                  <c:v>428763.44086021511</c:v>
                </c:pt>
                <c:pt idx="3">
                  <c:v>974462.36559139797</c:v>
                </c:pt>
                <c:pt idx="4">
                  <c:v>311827.95698924729</c:v>
                </c:pt>
                <c:pt idx="5">
                  <c:v>311827.95698924729</c:v>
                </c:pt>
                <c:pt idx="6">
                  <c:v>83333.333333333328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B0-9243-9610-1B53CDF130A4}"/>
            </c:ext>
          </c:extLst>
        </c:ser>
        <c:ser>
          <c:idx val="4"/>
          <c:order val="4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 Matriz Proyección'!$C$20:$N$20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 Matriz Proyección'!$G$21:$G$29</c:f>
              <c:numCache>
                <c:formatCode>\$#,##0</c:formatCode>
                <c:ptCount val="9"/>
                <c:pt idx="0">
                  <c:v>155913.97849462365</c:v>
                </c:pt>
                <c:pt idx="1">
                  <c:v>233870.96774193548</c:v>
                </c:pt>
                <c:pt idx="2">
                  <c:v>428763.44086021511</c:v>
                </c:pt>
                <c:pt idx="3">
                  <c:v>974462.36559139797</c:v>
                </c:pt>
                <c:pt idx="4">
                  <c:v>311827.95698924729</c:v>
                </c:pt>
                <c:pt idx="5">
                  <c:v>311827.95698924729</c:v>
                </c:pt>
                <c:pt idx="6">
                  <c:v>83333.333333333328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B0-9243-9610-1B53CDF130A4}"/>
            </c:ext>
          </c:extLst>
        </c:ser>
        <c:ser>
          <c:idx val="5"/>
          <c:order val="5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 Matriz Proyección'!$C$20:$N$20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 Matriz Proyección'!$H$21:$H$29</c:f>
              <c:numCache>
                <c:formatCode>\$#,##0</c:formatCode>
                <c:ptCount val="9"/>
                <c:pt idx="0">
                  <c:v>155913.97849462365</c:v>
                </c:pt>
                <c:pt idx="1">
                  <c:v>233870.96774193548</c:v>
                </c:pt>
                <c:pt idx="2">
                  <c:v>428763.44086021511</c:v>
                </c:pt>
                <c:pt idx="3">
                  <c:v>974462.36559139797</c:v>
                </c:pt>
                <c:pt idx="4">
                  <c:v>311827.95698924729</c:v>
                </c:pt>
                <c:pt idx="5">
                  <c:v>311827.95698924729</c:v>
                </c:pt>
                <c:pt idx="6">
                  <c:v>83333.333333333328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EB0-9243-9610-1B53CDF130A4}"/>
            </c:ext>
          </c:extLst>
        </c:ser>
        <c:ser>
          <c:idx val="6"/>
          <c:order val="6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 Matriz Proyección'!$C$20:$N$20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 Matriz Proyección'!$I$21:$I$29</c:f>
              <c:numCache>
                <c:formatCode>\$#,##0</c:formatCode>
                <c:ptCount val="9"/>
                <c:pt idx="0">
                  <c:v>155913.97849462365</c:v>
                </c:pt>
                <c:pt idx="1">
                  <c:v>233870.96774193548</c:v>
                </c:pt>
                <c:pt idx="2">
                  <c:v>428763.44086021511</c:v>
                </c:pt>
                <c:pt idx="3">
                  <c:v>974462.36559139797</c:v>
                </c:pt>
                <c:pt idx="4">
                  <c:v>311827.95698924729</c:v>
                </c:pt>
                <c:pt idx="5">
                  <c:v>311827.95698924729</c:v>
                </c:pt>
                <c:pt idx="6">
                  <c:v>83333.333333333328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B0-9243-9610-1B53CDF130A4}"/>
            </c:ext>
          </c:extLst>
        </c:ser>
        <c:ser>
          <c:idx val="7"/>
          <c:order val="7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 Matriz Proyección'!$C$20:$N$20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 Matriz Proyección'!$J$21:$J$29</c:f>
              <c:numCache>
                <c:formatCode>\$#,##0</c:formatCode>
                <c:ptCount val="9"/>
                <c:pt idx="0">
                  <c:v>155913.97849462365</c:v>
                </c:pt>
                <c:pt idx="1">
                  <c:v>233870.96774193548</c:v>
                </c:pt>
                <c:pt idx="2">
                  <c:v>428763.44086021511</c:v>
                </c:pt>
                <c:pt idx="3">
                  <c:v>974462.36559139797</c:v>
                </c:pt>
                <c:pt idx="4">
                  <c:v>311827.95698924729</c:v>
                </c:pt>
                <c:pt idx="5">
                  <c:v>311827.95698924729</c:v>
                </c:pt>
                <c:pt idx="6">
                  <c:v>83333.333333333328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EB0-9243-9610-1B53CDF130A4}"/>
            </c:ext>
          </c:extLst>
        </c:ser>
        <c:ser>
          <c:idx val="8"/>
          <c:order val="8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 Matriz Proyección'!$C$20:$N$20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 Matriz Proyección'!$K$21:$K$29</c:f>
              <c:numCache>
                <c:formatCode>\$#,##0</c:formatCode>
                <c:ptCount val="9"/>
                <c:pt idx="0">
                  <c:v>155913.97849462365</c:v>
                </c:pt>
                <c:pt idx="1">
                  <c:v>233870.96774193548</c:v>
                </c:pt>
                <c:pt idx="2">
                  <c:v>428763.44086021511</c:v>
                </c:pt>
                <c:pt idx="3">
                  <c:v>974462.36559139797</c:v>
                </c:pt>
                <c:pt idx="4">
                  <c:v>311827.95698924729</c:v>
                </c:pt>
                <c:pt idx="5">
                  <c:v>311827.95698924729</c:v>
                </c:pt>
                <c:pt idx="6">
                  <c:v>83333.333333333328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EB0-9243-9610-1B53CDF130A4}"/>
            </c:ext>
          </c:extLst>
        </c:ser>
        <c:ser>
          <c:idx val="9"/>
          <c:order val="9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 Matriz Proyección'!$C$20:$N$20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 Matriz Proyección'!$L$21:$L$29</c:f>
              <c:numCache>
                <c:formatCode>\$#,##0</c:formatCode>
                <c:ptCount val="9"/>
                <c:pt idx="0">
                  <c:v>155913.97849462365</c:v>
                </c:pt>
                <c:pt idx="1">
                  <c:v>233870.96774193548</c:v>
                </c:pt>
                <c:pt idx="2">
                  <c:v>428763.44086021511</c:v>
                </c:pt>
                <c:pt idx="3">
                  <c:v>974462.36559139797</c:v>
                </c:pt>
                <c:pt idx="4">
                  <c:v>311827.95698924729</c:v>
                </c:pt>
                <c:pt idx="5">
                  <c:v>311827.95698924729</c:v>
                </c:pt>
                <c:pt idx="6">
                  <c:v>83333.333333333328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EB0-9243-9610-1B53CDF130A4}"/>
            </c:ext>
          </c:extLst>
        </c:ser>
        <c:ser>
          <c:idx val="10"/>
          <c:order val="10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 Matriz Proyección'!$C$20:$N$20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 Matriz Proyección'!$M$21:$M$29</c:f>
              <c:numCache>
                <c:formatCode>\$#,##0</c:formatCode>
                <c:ptCount val="9"/>
                <c:pt idx="0">
                  <c:v>155913.97849462365</c:v>
                </c:pt>
                <c:pt idx="1">
                  <c:v>233870.96774193548</c:v>
                </c:pt>
                <c:pt idx="2">
                  <c:v>428763.44086021511</c:v>
                </c:pt>
                <c:pt idx="3">
                  <c:v>974462.36559139797</c:v>
                </c:pt>
                <c:pt idx="4">
                  <c:v>311827.95698924729</c:v>
                </c:pt>
                <c:pt idx="5">
                  <c:v>311827.95698924729</c:v>
                </c:pt>
                <c:pt idx="6">
                  <c:v>83333.333333333328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EB0-9243-9610-1B53CDF130A4}"/>
            </c:ext>
          </c:extLst>
        </c:ser>
        <c:ser>
          <c:idx val="11"/>
          <c:order val="11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 Matriz Proyección'!$C$20:$N$20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 Matriz Proyección'!$N$21:$N$29</c:f>
              <c:numCache>
                <c:formatCode>\$#,##0</c:formatCode>
                <c:ptCount val="9"/>
                <c:pt idx="0">
                  <c:v>155913.97849462365</c:v>
                </c:pt>
                <c:pt idx="1">
                  <c:v>233870.96774193548</c:v>
                </c:pt>
                <c:pt idx="2">
                  <c:v>428763.44086021511</c:v>
                </c:pt>
                <c:pt idx="3">
                  <c:v>974462.36559139797</c:v>
                </c:pt>
                <c:pt idx="4">
                  <c:v>311827.95698924729</c:v>
                </c:pt>
                <c:pt idx="5">
                  <c:v>311827.95698924729</c:v>
                </c:pt>
                <c:pt idx="6">
                  <c:v>83333.333333333328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EB0-9243-9610-1B53CDF130A4}"/>
            </c:ext>
          </c:extLst>
        </c:ser>
        <c:dLbls>
          <c:showLegendKey val="1"/>
          <c:showVal val="0"/>
          <c:showCatName val="1"/>
          <c:showSerName val="1"/>
          <c:showPercent val="1"/>
          <c:showBubbleSize val="1"/>
        </c:dLbls>
        <c:axId val="10"/>
        <c:axId val="100"/>
      </c:areaChart>
      <c:lineChart>
        <c:grouping val="standard"/>
        <c:varyColors val="1"/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'2. Estacionalidad'!$B$7:$B$18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'2. Estacionalidad'!$C$7:$C$18</c:f>
              <c:numCache>
                <c:formatCode>\$#,##0</c:formatCode>
                <c:ptCount val="12"/>
                <c:pt idx="0">
                  <c:v>4166666.6666666665</c:v>
                </c:pt>
                <c:pt idx="1">
                  <c:v>4166666.6666666665</c:v>
                </c:pt>
                <c:pt idx="2">
                  <c:v>4166666.6666666665</c:v>
                </c:pt>
                <c:pt idx="3">
                  <c:v>4166666.6666666665</c:v>
                </c:pt>
                <c:pt idx="4">
                  <c:v>4166666.6666666665</c:v>
                </c:pt>
                <c:pt idx="5">
                  <c:v>4166666.6666666665</c:v>
                </c:pt>
                <c:pt idx="6">
                  <c:v>4166666.6666666665</c:v>
                </c:pt>
                <c:pt idx="7">
                  <c:v>4166666.6666666665</c:v>
                </c:pt>
                <c:pt idx="8">
                  <c:v>4166666.6666666665</c:v>
                </c:pt>
                <c:pt idx="9">
                  <c:v>4166666.6666666665</c:v>
                </c:pt>
                <c:pt idx="10">
                  <c:v>4166666.6666666665</c:v>
                </c:pt>
                <c:pt idx="11">
                  <c:v>4166666.6666666665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7EB0-9243-9610-1B53CDF13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Mes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Pagos (MXN)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1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Ventas (MXN)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7"/>
  <sheetViews>
    <sheetView zoomScale="246" workbookViewId="0">
      <pane xSplit="1" ySplit="3" topLeftCell="B1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" customWidth="1"/>
    <col min="2" max="2" width="90" customWidth="1"/>
  </cols>
  <sheetData>
    <row r="1" spans="2:2" ht="21" x14ac:dyDescent="0.25">
      <c r="B1" s="1" t="s">
        <v>0</v>
      </c>
    </row>
    <row r="3" spans="2:2" ht="16" x14ac:dyDescent="0.2">
      <c r="B3" s="2" t="s">
        <v>1</v>
      </c>
    </row>
    <row r="4" spans="2:2" ht="32" x14ac:dyDescent="0.2">
      <c r="B4" s="3" t="s">
        <v>2</v>
      </c>
    </row>
    <row r="6" spans="2:2" ht="16" x14ac:dyDescent="0.2">
      <c r="B6" s="2" t="s">
        <v>3</v>
      </c>
    </row>
    <row r="7" spans="2:2" ht="32" x14ac:dyDescent="0.2">
      <c r="B7" s="4" t="s">
        <v>4</v>
      </c>
    </row>
    <row r="8" spans="2:2" ht="16" x14ac:dyDescent="0.2">
      <c r="B8" s="4" t="s">
        <v>5</v>
      </c>
    </row>
    <row r="9" spans="2:2" ht="16" x14ac:dyDescent="0.2">
      <c r="B9" s="4" t="s">
        <v>6</v>
      </c>
    </row>
    <row r="10" spans="2:2" ht="16" x14ac:dyDescent="0.2">
      <c r="B10" s="4" t="s">
        <v>7</v>
      </c>
    </row>
    <row r="11" spans="2:2" ht="32" x14ac:dyDescent="0.2">
      <c r="B11" s="4" t="s">
        <v>8</v>
      </c>
    </row>
    <row r="12" spans="2:2" ht="32" x14ac:dyDescent="0.2">
      <c r="B12" s="4" t="s">
        <v>9</v>
      </c>
    </row>
    <row r="13" spans="2:2" ht="16" x14ac:dyDescent="0.2">
      <c r="B13" s="4" t="s">
        <v>10</v>
      </c>
    </row>
    <row r="16" spans="2:2" ht="16" x14ac:dyDescent="0.2">
      <c r="B16" s="2" t="s">
        <v>11</v>
      </c>
    </row>
    <row r="17" spans="2:2" ht="16" x14ac:dyDescent="0.2">
      <c r="B17" s="3" t="s">
        <v>12</v>
      </c>
    </row>
    <row r="18" spans="2:2" x14ac:dyDescent="0.2">
      <c r="B18" s="5" t="s">
        <v>13</v>
      </c>
    </row>
    <row r="19" spans="2:2" ht="16" x14ac:dyDescent="0.2">
      <c r="B19" s="4" t="s">
        <v>14</v>
      </c>
    </row>
    <row r="21" spans="2:2" ht="16" x14ac:dyDescent="0.2">
      <c r="B21" s="2" t="s">
        <v>15</v>
      </c>
    </row>
    <row r="22" spans="2:2" ht="32" x14ac:dyDescent="0.2">
      <c r="B22" s="3" t="s">
        <v>16</v>
      </c>
    </row>
    <row r="23" spans="2:2" ht="32" x14ac:dyDescent="0.2">
      <c r="B23" s="4" t="s">
        <v>17</v>
      </c>
    </row>
    <row r="25" spans="2:2" ht="16" x14ac:dyDescent="0.2">
      <c r="B25" s="2" t="s">
        <v>18</v>
      </c>
    </row>
    <row r="26" spans="2:2" x14ac:dyDescent="0.2">
      <c r="B26" s="6" t="s">
        <v>19</v>
      </c>
    </row>
    <row r="27" spans="2:2" x14ac:dyDescent="0.2">
      <c r="B27" s="7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3"/>
  <sheetViews>
    <sheetView zoomScale="400" workbookViewId="0">
      <pane xSplit="1" ySplit="2" topLeftCell="B3" activePane="bottomRight" state="frozen"/>
      <selection pane="topRight"/>
      <selection pane="bottomLeft"/>
      <selection pane="bottomRight" activeCell="C4" sqref="C4"/>
    </sheetView>
  </sheetViews>
  <sheetFormatPr baseColWidth="10" defaultColWidth="8.83203125" defaultRowHeight="15" x14ac:dyDescent="0.2"/>
  <cols>
    <col min="1" max="1" width="4" customWidth="1"/>
    <col min="2" max="2" width="26" customWidth="1"/>
    <col min="3" max="3" width="22" customWidth="1"/>
    <col min="4" max="7" width="18" customWidth="1"/>
  </cols>
  <sheetData>
    <row r="1" spans="2:7" ht="19" x14ac:dyDescent="0.25">
      <c r="B1" s="8" t="s">
        <v>21</v>
      </c>
    </row>
    <row r="3" spans="2:7" x14ac:dyDescent="0.2">
      <c r="B3" s="9" t="s">
        <v>22</v>
      </c>
      <c r="C3" s="10" t="s">
        <v>101</v>
      </c>
    </row>
    <row r="4" spans="2:7" x14ac:dyDescent="0.2">
      <c r="B4" s="9" t="s">
        <v>23</v>
      </c>
      <c r="C4" s="11">
        <v>50000000</v>
      </c>
    </row>
    <row r="5" spans="2:7" x14ac:dyDescent="0.2">
      <c r="B5" s="9" t="s">
        <v>24</v>
      </c>
      <c r="C5" s="11">
        <v>30000000</v>
      </c>
    </row>
    <row r="6" spans="2:7" x14ac:dyDescent="0.2">
      <c r="B6" s="9" t="s">
        <v>25</v>
      </c>
      <c r="C6" s="10" t="s">
        <v>26</v>
      </c>
    </row>
    <row r="7" spans="2:7" x14ac:dyDescent="0.2">
      <c r="B7" s="9" t="s">
        <v>27</v>
      </c>
      <c r="C7" s="12">
        <v>0.02</v>
      </c>
    </row>
    <row r="9" spans="2:7" ht="16" x14ac:dyDescent="0.2">
      <c r="B9" s="2" t="s">
        <v>28</v>
      </c>
    </row>
    <row r="11" spans="2:7" ht="16" x14ac:dyDescent="0.2">
      <c r="B11" s="13" t="s">
        <v>29</v>
      </c>
      <c r="C11" s="13" t="s">
        <v>30</v>
      </c>
      <c r="D11" s="13" t="s">
        <v>31</v>
      </c>
      <c r="E11" s="13" t="s">
        <v>32</v>
      </c>
      <c r="F11" s="13" t="s">
        <v>33</v>
      </c>
      <c r="G11" s="13" t="s">
        <v>34</v>
      </c>
    </row>
    <row r="12" spans="2:7" ht="16" x14ac:dyDescent="0.2">
      <c r="B12" s="14" t="s">
        <v>35</v>
      </c>
      <c r="C12" s="15" t="s">
        <v>36</v>
      </c>
      <c r="D12" s="16">
        <v>0.01</v>
      </c>
      <c r="E12" s="16">
        <v>0.03</v>
      </c>
      <c r="F12" s="17">
        <f t="shared" ref="F12:F17" si="0">IF(AND(D12&lt;&gt;"",E12&lt;&gt;""),(D12+E12)/2,"")</f>
        <v>0.02</v>
      </c>
      <c r="G12" s="18" t="s">
        <v>37</v>
      </c>
    </row>
    <row r="13" spans="2:7" ht="16" x14ac:dyDescent="0.2">
      <c r="B13" s="14" t="s">
        <v>38</v>
      </c>
      <c r="C13" s="15" t="s">
        <v>36</v>
      </c>
      <c r="D13" s="16">
        <v>0.02</v>
      </c>
      <c r="E13" s="16">
        <v>0.04</v>
      </c>
      <c r="F13" s="17">
        <f t="shared" si="0"/>
        <v>0.03</v>
      </c>
      <c r="G13" s="18" t="s">
        <v>37</v>
      </c>
    </row>
    <row r="14" spans="2:7" ht="16" x14ac:dyDescent="0.2">
      <c r="B14" s="14" t="s">
        <v>39</v>
      </c>
      <c r="C14" s="15" t="s">
        <v>36</v>
      </c>
      <c r="D14" s="16">
        <v>0.04</v>
      </c>
      <c r="E14" s="16">
        <v>7.0000000000000007E-2</v>
      </c>
      <c r="F14" s="17">
        <f t="shared" si="0"/>
        <v>5.5000000000000007E-2</v>
      </c>
      <c r="G14" s="18" t="s">
        <v>37</v>
      </c>
    </row>
    <row r="15" spans="2:7" ht="16" x14ac:dyDescent="0.2">
      <c r="B15" s="14" t="s">
        <v>40</v>
      </c>
      <c r="C15" s="15" t="s">
        <v>36</v>
      </c>
      <c r="D15" s="16">
        <v>0.1</v>
      </c>
      <c r="E15" s="16">
        <v>0.15</v>
      </c>
      <c r="F15" s="17">
        <f t="shared" si="0"/>
        <v>0.125</v>
      </c>
      <c r="G15" s="18" t="s">
        <v>37</v>
      </c>
    </row>
    <row r="16" spans="2:7" ht="16" x14ac:dyDescent="0.2">
      <c r="B16" s="14" t="s">
        <v>41</v>
      </c>
      <c r="C16" s="15" t="s">
        <v>36</v>
      </c>
      <c r="D16" s="16">
        <v>0.03</v>
      </c>
      <c r="E16" s="16">
        <v>0.05</v>
      </c>
      <c r="F16" s="17">
        <f t="shared" si="0"/>
        <v>0.04</v>
      </c>
      <c r="G16" s="18" t="s">
        <v>37</v>
      </c>
    </row>
    <row r="17" spans="2:7" ht="16" x14ac:dyDescent="0.2">
      <c r="B17" s="14" t="s">
        <v>42</v>
      </c>
      <c r="C17" s="15" t="s">
        <v>36</v>
      </c>
      <c r="D17" s="16">
        <v>0.03</v>
      </c>
      <c r="E17" s="16">
        <v>0.05</v>
      </c>
      <c r="F17" s="17">
        <f t="shared" si="0"/>
        <v>0.04</v>
      </c>
      <c r="G17" s="18" t="s">
        <v>37</v>
      </c>
    </row>
    <row r="18" spans="2:7" ht="16" x14ac:dyDescent="0.2">
      <c r="B18" s="14" t="s">
        <v>43</v>
      </c>
      <c r="C18" s="15" t="s">
        <v>44</v>
      </c>
      <c r="D18" s="15"/>
      <c r="E18" s="15"/>
      <c r="F18" s="17">
        <f>C7</f>
        <v>0.02</v>
      </c>
      <c r="G18" s="18" t="s">
        <v>37</v>
      </c>
    </row>
    <row r="19" spans="2:7" ht="16" x14ac:dyDescent="0.2">
      <c r="B19" s="14" t="s">
        <v>45</v>
      </c>
      <c r="C19" s="15" t="s">
        <v>44</v>
      </c>
      <c r="D19" s="16">
        <v>0.04</v>
      </c>
      <c r="E19" s="16">
        <v>0.08</v>
      </c>
      <c r="F19" s="17">
        <f>IF(AND(D19&lt;&gt;"",E19&lt;&gt;""),(D19+E19)/2,"")</f>
        <v>0.06</v>
      </c>
      <c r="G19" s="18" t="s">
        <v>46</v>
      </c>
    </row>
    <row r="20" spans="2:7" ht="16" x14ac:dyDescent="0.2">
      <c r="B20" s="14" t="s">
        <v>47</v>
      </c>
      <c r="C20" s="15" t="s">
        <v>44</v>
      </c>
      <c r="D20" s="16">
        <v>0.02</v>
      </c>
      <c r="E20" s="16">
        <v>0.05</v>
      </c>
      <c r="F20" s="17">
        <f>IF(AND(D20&lt;&gt;"",E20&lt;&gt;""),(D20+E20)/2,"")</f>
        <v>3.5000000000000003E-2</v>
      </c>
      <c r="G20" s="18" t="s">
        <v>46</v>
      </c>
    </row>
    <row r="22" spans="2:7" x14ac:dyDescent="0.2">
      <c r="B22" s="9" t="s">
        <v>48</v>
      </c>
    </row>
    <row r="23" spans="2:7" ht="64" x14ac:dyDescent="0.2">
      <c r="B23" s="19" t="s">
        <v>49</v>
      </c>
    </row>
  </sheetData>
  <dataValidations count="2">
    <dataValidation type="list" sqref="G12:G20" xr:uid="{00000000-0002-0000-0100-000000000000}">
      <formula1>"Sí,No"</formula1>
    </dataValidation>
    <dataValidation type="decimal" errorTitle="Validación de Benchmark" error="El % elegido debe estar dentro del rango de mercado (Mín–Máx)." sqref="F19:F20 F12:F17" xr:uid="{00000000-0002-0000-0100-000001000000}">
      <formula1>D12</formula1>
      <formula2>E12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0"/>
  <sheetViews>
    <sheetView zoomScale="224" workbookViewId="0">
      <pane xSplit="1" ySplit="2" topLeftCell="B3" activePane="bottomRight" state="frozen"/>
      <selection pane="topRight"/>
      <selection pane="bottomLeft"/>
      <selection pane="bottomRight" activeCell="D11" sqref="D11"/>
    </sheetView>
  </sheetViews>
  <sheetFormatPr baseColWidth="10" defaultColWidth="8.83203125" defaultRowHeight="15" x14ac:dyDescent="0.2"/>
  <cols>
    <col min="1" max="1" width="4" customWidth="1"/>
    <col min="2" max="2" width="16" customWidth="1"/>
    <col min="3" max="3" width="22" customWidth="1"/>
    <col min="4" max="4" width="14" customWidth="1"/>
    <col min="5" max="5" width="18" customWidth="1"/>
  </cols>
  <sheetData>
    <row r="1" spans="2:5" ht="19" x14ac:dyDescent="0.25">
      <c r="B1" s="8" t="s">
        <v>50</v>
      </c>
    </row>
    <row r="3" spans="2:5" x14ac:dyDescent="0.2">
      <c r="B3" s="9" t="s">
        <v>51</v>
      </c>
      <c r="C3" s="20">
        <f>'1. Configuración'!C4</f>
        <v>50000000</v>
      </c>
    </row>
    <row r="4" spans="2:5" x14ac:dyDescent="0.2">
      <c r="B4" s="9" t="s">
        <v>52</v>
      </c>
      <c r="C4" s="20">
        <f>C3/12</f>
        <v>4166666.6666666665</v>
      </c>
    </row>
    <row r="6" spans="2:5" ht="16" x14ac:dyDescent="0.2">
      <c r="B6" s="13" t="s">
        <v>53</v>
      </c>
      <c r="C6" s="13" t="s">
        <v>54</v>
      </c>
      <c r="D6" s="13" t="s">
        <v>55</v>
      </c>
      <c r="E6" s="13" t="s">
        <v>56</v>
      </c>
    </row>
    <row r="7" spans="2:5" ht="16" x14ac:dyDescent="0.2">
      <c r="B7" s="15" t="s">
        <v>57</v>
      </c>
      <c r="C7" s="21">
        <f t="shared" ref="C7:C18" si="0">$C$3/12</f>
        <v>4166666.6666666665</v>
      </c>
      <c r="D7" s="22">
        <f t="shared" ref="D7:D18" si="1">IFERROR(C7/$C$4,0)</f>
        <v>1</v>
      </c>
      <c r="E7" s="23" t="str">
        <f t="shared" ref="E7:E18" si="2">IF(D7&gt;1,"Alta",IF(D7&lt;1,"Baja","Media"))</f>
        <v>Media</v>
      </c>
    </row>
    <row r="8" spans="2:5" ht="16" x14ac:dyDescent="0.2">
      <c r="B8" s="15" t="s">
        <v>58</v>
      </c>
      <c r="C8" s="21">
        <f t="shared" si="0"/>
        <v>4166666.6666666665</v>
      </c>
      <c r="D8" s="22">
        <f t="shared" si="1"/>
        <v>1</v>
      </c>
      <c r="E8" s="23" t="str">
        <f t="shared" si="2"/>
        <v>Media</v>
      </c>
    </row>
    <row r="9" spans="2:5" ht="16" x14ac:dyDescent="0.2">
      <c r="B9" s="15" t="s">
        <v>59</v>
      </c>
      <c r="C9" s="21">
        <f t="shared" si="0"/>
        <v>4166666.6666666665</v>
      </c>
      <c r="D9" s="22">
        <f t="shared" si="1"/>
        <v>1</v>
      </c>
      <c r="E9" s="23" t="str">
        <f t="shared" si="2"/>
        <v>Media</v>
      </c>
    </row>
    <row r="10" spans="2:5" ht="16" x14ac:dyDescent="0.2">
      <c r="B10" s="15" t="s">
        <v>60</v>
      </c>
      <c r="C10" s="21">
        <f t="shared" si="0"/>
        <v>4166666.6666666665</v>
      </c>
      <c r="D10" s="22">
        <f t="shared" si="1"/>
        <v>1</v>
      </c>
      <c r="E10" s="23" t="str">
        <f t="shared" si="2"/>
        <v>Media</v>
      </c>
    </row>
    <row r="11" spans="2:5" ht="16" x14ac:dyDescent="0.2">
      <c r="B11" s="15" t="s">
        <v>61</v>
      </c>
      <c r="C11" s="21">
        <f t="shared" si="0"/>
        <v>4166666.6666666665</v>
      </c>
      <c r="D11" s="22">
        <f t="shared" si="1"/>
        <v>1</v>
      </c>
      <c r="E11" s="23" t="str">
        <f t="shared" si="2"/>
        <v>Media</v>
      </c>
    </row>
    <row r="12" spans="2:5" ht="16" x14ac:dyDescent="0.2">
      <c r="B12" s="15" t="s">
        <v>62</v>
      </c>
      <c r="C12" s="21">
        <f t="shared" si="0"/>
        <v>4166666.6666666665</v>
      </c>
      <c r="D12" s="22">
        <f t="shared" si="1"/>
        <v>1</v>
      </c>
      <c r="E12" s="23" t="str">
        <f t="shared" si="2"/>
        <v>Media</v>
      </c>
    </row>
    <row r="13" spans="2:5" ht="16" x14ac:dyDescent="0.2">
      <c r="B13" s="15" t="s">
        <v>63</v>
      </c>
      <c r="C13" s="21">
        <f t="shared" si="0"/>
        <v>4166666.6666666665</v>
      </c>
      <c r="D13" s="22">
        <f t="shared" si="1"/>
        <v>1</v>
      </c>
      <c r="E13" s="23" t="str">
        <f t="shared" si="2"/>
        <v>Media</v>
      </c>
    </row>
    <row r="14" spans="2:5" ht="16" x14ac:dyDescent="0.2">
      <c r="B14" s="15" t="s">
        <v>64</v>
      </c>
      <c r="C14" s="21">
        <f t="shared" si="0"/>
        <v>4166666.6666666665</v>
      </c>
      <c r="D14" s="22">
        <f t="shared" si="1"/>
        <v>1</v>
      </c>
      <c r="E14" s="23" t="str">
        <f t="shared" si="2"/>
        <v>Media</v>
      </c>
    </row>
    <row r="15" spans="2:5" ht="16" x14ac:dyDescent="0.2">
      <c r="B15" s="15" t="s">
        <v>65</v>
      </c>
      <c r="C15" s="21">
        <f t="shared" si="0"/>
        <v>4166666.6666666665</v>
      </c>
      <c r="D15" s="22">
        <f t="shared" si="1"/>
        <v>1</v>
      </c>
      <c r="E15" s="23" t="str">
        <f t="shared" si="2"/>
        <v>Media</v>
      </c>
    </row>
    <row r="16" spans="2:5" ht="16" x14ac:dyDescent="0.2">
      <c r="B16" s="15" t="s">
        <v>66</v>
      </c>
      <c r="C16" s="21">
        <f t="shared" si="0"/>
        <v>4166666.6666666665</v>
      </c>
      <c r="D16" s="22">
        <f t="shared" si="1"/>
        <v>1</v>
      </c>
      <c r="E16" s="23" t="str">
        <f t="shared" si="2"/>
        <v>Media</v>
      </c>
    </row>
    <row r="17" spans="2:5" ht="16" x14ac:dyDescent="0.2">
      <c r="B17" s="15" t="s">
        <v>67</v>
      </c>
      <c r="C17" s="21">
        <f t="shared" si="0"/>
        <v>4166666.6666666665</v>
      </c>
      <c r="D17" s="22">
        <f t="shared" si="1"/>
        <v>1</v>
      </c>
      <c r="E17" s="23" t="str">
        <f t="shared" si="2"/>
        <v>Media</v>
      </c>
    </row>
    <row r="18" spans="2:5" ht="16" x14ac:dyDescent="0.2">
      <c r="B18" s="15" t="s">
        <v>68</v>
      </c>
      <c r="C18" s="21">
        <f t="shared" si="0"/>
        <v>4166666.6666666665</v>
      </c>
      <c r="D18" s="22">
        <f t="shared" si="1"/>
        <v>1</v>
      </c>
      <c r="E18" s="23" t="str">
        <f t="shared" si="2"/>
        <v>Media</v>
      </c>
    </row>
    <row r="20" spans="2:5" x14ac:dyDescent="0.2">
      <c r="B20" s="9" t="s">
        <v>69</v>
      </c>
      <c r="C20" s="24" t="s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O30"/>
  <sheetViews>
    <sheetView zoomScale="180" workbookViewId="0">
      <pane xSplit="1" ySplit="2" topLeftCell="I1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" customWidth="1"/>
    <col min="2" max="2" width="18" customWidth="1"/>
    <col min="3" max="3" width="14" customWidth="1"/>
    <col min="4" max="13" width="16" customWidth="1"/>
    <col min="14" max="14" width="18" customWidth="1"/>
    <col min="15" max="15" width="11" customWidth="1"/>
  </cols>
  <sheetData>
    <row r="1" spans="2:9" ht="19" x14ac:dyDescent="0.25">
      <c r="B1" s="8" t="s">
        <v>71</v>
      </c>
    </row>
    <row r="3" spans="2:9" x14ac:dyDescent="0.2">
      <c r="B3" s="9" t="s">
        <v>72</v>
      </c>
      <c r="C3" s="20">
        <f>'1. Configuración'!C5</f>
        <v>30000000</v>
      </c>
      <c r="E3" s="9" t="s">
        <v>73</v>
      </c>
      <c r="F3" s="20">
        <f>SUM('2. Estacionalidad'!C7:C18)*'1. Configuración'!C7</f>
        <v>999999.99999999988</v>
      </c>
      <c r="H3" s="9" t="s">
        <v>74</v>
      </c>
      <c r="I3" s="25" t="str">
        <f>IF(F3&gt;C3,"⚠ Comisiones exceden presupuesto","")</f>
        <v/>
      </c>
    </row>
    <row r="4" spans="2:9" x14ac:dyDescent="0.2">
      <c r="B4" s="9" t="s">
        <v>75</v>
      </c>
      <c r="C4" s="20">
        <f>'1. Configuración'!C4</f>
        <v>50000000</v>
      </c>
      <c r="E4" s="9" t="s">
        <v>76</v>
      </c>
      <c r="F4" s="20">
        <f>MAX(C3-F3,0)</f>
        <v>29000000</v>
      </c>
    </row>
    <row r="5" spans="2:9" x14ac:dyDescent="0.2">
      <c r="B5" s="9" t="s">
        <v>77</v>
      </c>
      <c r="C5" s="26">
        <f>'1. Configuración'!C7</f>
        <v>0.02</v>
      </c>
    </row>
    <row r="7" spans="2:9" ht="32" x14ac:dyDescent="0.2">
      <c r="B7" s="13" t="s">
        <v>29</v>
      </c>
      <c r="C7" s="13" t="s">
        <v>78</v>
      </c>
      <c r="D7" s="13" t="s">
        <v>33</v>
      </c>
      <c r="E7" s="13" t="s">
        <v>79</v>
      </c>
      <c r="F7" s="13" t="s">
        <v>80</v>
      </c>
      <c r="G7" s="13" t="s">
        <v>81</v>
      </c>
    </row>
    <row r="8" spans="2:9" ht="16" x14ac:dyDescent="0.2">
      <c r="B8" s="27" t="str">
        <f>'1. Configuración'!B12</f>
        <v>Legal</v>
      </c>
      <c r="C8" s="23" t="str">
        <f>'1. Configuración'!G12</f>
        <v>Sí</v>
      </c>
      <c r="D8" s="28">
        <f>'1. Configuración'!F12</f>
        <v>0.02</v>
      </c>
      <c r="E8" s="28">
        <f t="shared" ref="E8:E16" si="0">IF(AND(C8="Sí",B8&lt;&gt;"Comisiones"),D8,0)</f>
        <v>0.02</v>
      </c>
      <c r="F8" s="29">
        <f t="shared" ref="F8:F16" si="1">IF(B8="Comisiones",$F$3,IF($C$17=0,0,$F$4*(E8/$C$17)))</f>
        <v>1870967.7419354839</v>
      </c>
      <c r="G8" s="29">
        <f t="shared" ref="G8:G16" si="2">F8/12</f>
        <v>155913.97849462365</v>
      </c>
    </row>
    <row r="9" spans="2:9" ht="16" x14ac:dyDescent="0.2">
      <c r="B9" s="27" t="str">
        <f>'1. Configuración'!B13</f>
        <v>Contable</v>
      </c>
      <c r="C9" s="23" t="str">
        <f>'1. Configuración'!G13</f>
        <v>Sí</v>
      </c>
      <c r="D9" s="28">
        <f>'1. Configuración'!F13</f>
        <v>0.03</v>
      </c>
      <c r="E9" s="28">
        <f t="shared" si="0"/>
        <v>0.03</v>
      </c>
      <c r="F9" s="29">
        <f t="shared" si="1"/>
        <v>2806451.6129032257</v>
      </c>
      <c r="G9" s="29">
        <f t="shared" si="2"/>
        <v>233870.96774193548</v>
      </c>
    </row>
    <row r="10" spans="2:9" ht="16" x14ac:dyDescent="0.2">
      <c r="B10" s="27" t="str">
        <f>'1. Configuración'!B14</f>
        <v>TI</v>
      </c>
      <c r="C10" s="23" t="str">
        <f>'1. Configuración'!G14</f>
        <v>Sí</v>
      </c>
      <c r="D10" s="28">
        <f>'1. Configuración'!F14</f>
        <v>5.5000000000000007E-2</v>
      </c>
      <c r="E10" s="28">
        <f t="shared" si="0"/>
        <v>5.5000000000000007E-2</v>
      </c>
      <c r="F10" s="29">
        <f t="shared" si="1"/>
        <v>5145161.2903225813</v>
      </c>
      <c r="G10" s="29">
        <f t="shared" si="2"/>
        <v>428763.44086021511</v>
      </c>
    </row>
    <row r="11" spans="2:9" ht="16" x14ac:dyDescent="0.2">
      <c r="B11" s="27" t="str">
        <f>'1. Configuración'!B15</f>
        <v>Marketing</v>
      </c>
      <c r="C11" s="23" t="str">
        <f>'1. Configuración'!G15</f>
        <v>Sí</v>
      </c>
      <c r="D11" s="28">
        <f>'1. Configuración'!F15</f>
        <v>0.125</v>
      </c>
      <c r="E11" s="28">
        <f t="shared" si="0"/>
        <v>0.125</v>
      </c>
      <c r="F11" s="29">
        <f t="shared" si="1"/>
        <v>11693548.387096776</v>
      </c>
      <c r="G11" s="29">
        <f t="shared" si="2"/>
        <v>974462.36559139797</v>
      </c>
    </row>
    <row r="12" spans="2:9" ht="16" x14ac:dyDescent="0.2">
      <c r="B12" s="27" t="str">
        <f>'1. Configuración'!B16</f>
        <v>RH</v>
      </c>
      <c r="C12" s="23" t="str">
        <f>'1. Configuración'!G16</f>
        <v>Sí</v>
      </c>
      <c r="D12" s="28">
        <f>'1. Configuración'!F16</f>
        <v>0.04</v>
      </c>
      <c r="E12" s="28">
        <f t="shared" si="0"/>
        <v>0.04</v>
      </c>
      <c r="F12" s="29">
        <f t="shared" si="1"/>
        <v>3741935.4838709678</v>
      </c>
      <c r="G12" s="29">
        <f t="shared" si="2"/>
        <v>311827.95698924729</v>
      </c>
    </row>
    <row r="13" spans="2:9" ht="16" x14ac:dyDescent="0.2">
      <c r="B13" s="27" t="str">
        <f>'1. Configuración'!B17</f>
        <v>Admin</v>
      </c>
      <c r="C13" s="23" t="str">
        <f>'1. Configuración'!G17</f>
        <v>Sí</v>
      </c>
      <c r="D13" s="28">
        <f>'1. Configuración'!F17</f>
        <v>0.04</v>
      </c>
      <c r="E13" s="28">
        <f t="shared" si="0"/>
        <v>0.04</v>
      </c>
      <c r="F13" s="29">
        <f t="shared" si="1"/>
        <v>3741935.4838709678</v>
      </c>
      <c r="G13" s="29">
        <f t="shared" si="2"/>
        <v>311827.95698924729</v>
      </c>
    </row>
    <row r="14" spans="2:9" ht="16" x14ac:dyDescent="0.2">
      <c r="B14" s="27" t="str">
        <f>'1. Configuración'!B18</f>
        <v>Comisiones</v>
      </c>
      <c r="C14" s="23" t="str">
        <f>'1. Configuración'!G18</f>
        <v>Sí</v>
      </c>
      <c r="D14" s="28">
        <f>'1. Configuración'!F18</f>
        <v>0.02</v>
      </c>
      <c r="E14" s="28">
        <f t="shared" si="0"/>
        <v>0</v>
      </c>
      <c r="F14" s="29">
        <f t="shared" si="1"/>
        <v>999999.99999999988</v>
      </c>
      <c r="G14" s="29">
        <f t="shared" si="2"/>
        <v>83333.333333333328</v>
      </c>
    </row>
    <row r="15" spans="2:9" ht="16" x14ac:dyDescent="0.2">
      <c r="B15" s="27" t="str">
        <f>'1. Configuración'!B19</f>
        <v>Logística</v>
      </c>
      <c r="C15" s="23" t="str">
        <f>'1. Configuración'!G19</f>
        <v>No</v>
      </c>
      <c r="D15" s="28">
        <f>'1. Configuración'!F19</f>
        <v>0.06</v>
      </c>
      <c r="E15" s="28">
        <f t="shared" si="0"/>
        <v>0</v>
      </c>
      <c r="F15" s="29">
        <f t="shared" si="1"/>
        <v>0</v>
      </c>
      <c r="G15" s="29">
        <f t="shared" si="2"/>
        <v>0</v>
      </c>
    </row>
    <row r="16" spans="2:9" ht="16" x14ac:dyDescent="0.2">
      <c r="B16" s="27" t="str">
        <f>'1. Configuración'!B20</f>
        <v>Construcción</v>
      </c>
      <c r="C16" s="23" t="str">
        <f>'1. Configuración'!G20</f>
        <v>No</v>
      </c>
      <c r="D16" s="28">
        <f>'1. Configuración'!F20</f>
        <v>3.5000000000000003E-2</v>
      </c>
      <c r="E16" s="28">
        <f t="shared" si="0"/>
        <v>0</v>
      </c>
      <c r="F16" s="29">
        <f t="shared" si="1"/>
        <v>0</v>
      </c>
      <c r="G16" s="29">
        <f t="shared" si="2"/>
        <v>0</v>
      </c>
    </row>
    <row r="17" spans="2:15" x14ac:dyDescent="0.2">
      <c r="B17" s="9" t="s">
        <v>82</v>
      </c>
      <c r="C17" s="26">
        <f>SUM(E8:E16)</f>
        <v>0.31</v>
      </c>
    </row>
    <row r="19" spans="2:15" ht="16" x14ac:dyDescent="0.2">
      <c r="B19" s="38" t="s">
        <v>83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</row>
    <row r="20" spans="2:15" ht="32" x14ac:dyDescent="0.2">
      <c r="B20" s="13" t="s">
        <v>29</v>
      </c>
      <c r="C20" s="13" t="s">
        <v>57</v>
      </c>
      <c r="D20" s="13" t="s">
        <v>58</v>
      </c>
      <c r="E20" s="13" t="s">
        <v>59</v>
      </c>
      <c r="F20" s="13" t="s">
        <v>60</v>
      </c>
      <c r="G20" s="13" t="s">
        <v>61</v>
      </c>
      <c r="H20" s="13" t="s">
        <v>62</v>
      </c>
      <c r="I20" s="13" t="s">
        <v>63</v>
      </c>
      <c r="J20" s="13" t="s">
        <v>64</v>
      </c>
      <c r="K20" s="13" t="s">
        <v>65</v>
      </c>
      <c r="L20" s="13" t="s">
        <v>66</v>
      </c>
      <c r="M20" s="13" t="s">
        <v>67</v>
      </c>
      <c r="N20" s="13" t="s">
        <v>68</v>
      </c>
      <c r="O20" s="13" t="s">
        <v>84</v>
      </c>
    </row>
    <row r="21" spans="2:15" x14ac:dyDescent="0.2">
      <c r="B21" s="27" t="str">
        <f t="shared" ref="B21:B29" si="3">B8</f>
        <v>Legal</v>
      </c>
      <c r="C21" s="29">
        <f>IF(C8="Sí",G8*'2. Estacionalidad'!D7,0)</f>
        <v>155913.97849462365</v>
      </c>
      <c r="D21" s="29">
        <f>IF(C8="Sí",G8*'2. Estacionalidad'!D8,0)</f>
        <v>155913.97849462365</v>
      </c>
      <c r="E21" s="29">
        <f>IF(C8="Sí",G8*'2. Estacionalidad'!D9,0)</f>
        <v>155913.97849462365</v>
      </c>
      <c r="F21" s="29">
        <f>IF(C8="Sí",G8*'2. Estacionalidad'!D10,0)</f>
        <v>155913.97849462365</v>
      </c>
      <c r="G21" s="29">
        <f>IF(C8="Sí",G8*'2. Estacionalidad'!D11,0)</f>
        <v>155913.97849462365</v>
      </c>
      <c r="H21" s="29">
        <f>IF(C8="Sí",G8*'2. Estacionalidad'!D12,0)</f>
        <v>155913.97849462365</v>
      </c>
      <c r="I21" s="29">
        <f>IF(C8="Sí",G8*'2. Estacionalidad'!D13,0)</f>
        <v>155913.97849462365</v>
      </c>
      <c r="J21" s="29">
        <f>IF(C8="Sí",G8*'2. Estacionalidad'!D14,0)</f>
        <v>155913.97849462365</v>
      </c>
      <c r="K21" s="29">
        <f>IF(C8="Sí",G8*'2. Estacionalidad'!D15,0)</f>
        <v>155913.97849462365</v>
      </c>
      <c r="L21" s="29">
        <f>IF(C8="Sí",G8*'2. Estacionalidad'!D16,0)</f>
        <v>155913.97849462365</v>
      </c>
      <c r="M21" s="29">
        <f>IF(C8="Sí",G8*'2. Estacionalidad'!D17,0)</f>
        <v>155913.97849462365</v>
      </c>
      <c r="N21" s="29">
        <f>IF(C8="Sí",G8*'2. Estacionalidad'!D18,0)</f>
        <v>155913.97849462365</v>
      </c>
      <c r="O21" s="29">
        <f t="shared" ref="O21:O29" si="4">SUM(C21:N21)</f>
        <v>1870967.7419354839</v>
      </c>
    </row>
    <row r="22" spans="2:15" x14ac:dyDescent="0.2">
      <c r="B22" s="27" t="str">
        <f t="shared" si="3"/>
        <v>Contable</v>
      </c>
      <c r="C22" s="29">
        <f>IF(C9="Sí",G9*'2. Estacionalidad'!D7,0)</f>
        <v>233870.96774193548</v>
      </c>
      <c r="D22" s="29">
        <f>IF(C9="Sí",G9*'2. Estacionalidad'!D8,0)</f>
        <v>233870.96774193548</v>
      </c>
      <c r="E22" s="29">
        <f>IF(C9="Sí",G9*'2. Estacionalidad'!D9,0)</f>
        <v>233870.96774193548</v>
      </c>
      <c r="F22" s="29">
        <f>IF(C9="Sí",G9*'2. Estacionalidad'!D10,0)</f>
        <v>233870.96774193548</v>
      </c>
      <c r="G22" s="29">
        <f>IF(C9="Sí",G9*'2. Estacionalidad'!D11,0)</f>
        <v>233870.96774193548</v>
      </c>
      <c r="H22" s="29">
        <f>IF(C9="Sí",G9*'2. Estacionalidad'!D12,0)</f>
        <v>233870.96774193548</v>
      </c>
      <c r="I22" s="29">
        <f>IF(C9="Sí",G9*'2. Estacionalidad'!D13,0)</f>
        <v>233870.96774193548</v>
      </c>
      <c r="J22" s="29">
        <f>IF(C9="Sí",G9*'2. Estacionalidad'!D14,0)</f>
        <v>233870.96774193548</v>
      </c>
      <c r="K22" s="29">
        <f>IF(C9="Sí",G9*'2. Estacionalidad'!D15,0)</f>
        <v>233870.96774193548</v>
      </c>
      <c r="L22" s="29">
        <f>IF(C9="Sí",G9*'2. Estacionalidad'!D16,0)</f>
        <v>233870.96774193548</v>
      </c>
      <c r="M22" s="29">
        <f>IF(C9="Sí",G9*'2. Estacionalidad'!D17,0)</f>
        <v>233870.96774193548</v>
      </c>
      <c r="N22" s="29">
        <f>IF(C9="Sí",G9*'2. Estacionalidad'!D18,0)</f>
        <v>233870.96774193548</v>
      </c>
      <c r="O22" s="29">
        <f t="shared" si="4"/>
        <v>2806451.6129032257</v>
      </c>
    </row>
    <row r="23" spans="2:15" x14ac:dyDescent="0.2">
      <c r="B23" s="27" t="str">
        <f t="shared" si="3"/>
        <v>TI</v>
      </c>
      <c r="C23" s="29">
        <f>IF(C10="Sí",G10*'2. Estacionalidad'!D7,0)</f>
        <v>428763.44086021511</v>
      </c>
      <c r="D23" s="29">
        <f>IF(C10="Sí",G10*'2. Estacionalidad'!D8,0)</f>
        <v>428763.44086021511</v>
      </c>
      <c r="E23" s="29">
        <f>IF(C10="Sí",G10*'2. Estacionalidad'!D9,0)</f>
        <v>428763.44086021511</v>
      </c>
      <c r="F23" s="29">
        <f>IF(C10="Sí",G10*'2. Estacionalidad'!D10,0)</f>
        <v>428763.44086021511</v>
      </c>
      <c r="G23" s="29">
        <f>IF(C10="Sí",G10*'2. Estacionalidad'!D11,0)</f>
        <v>428763.44086021511</v>
      </c>
      <c r="H23" s="29">
        <f>IF(C10="Sí",G10*'2. Estacionalidad'!D12,0)</f>
        <v>428763.44086021511</v>
      </c>
      <c r="I23" s="29">
        <f>IF(C10="Sí",G10*'2. Estacionalidad'!D13,0)</f>
        <v>428763.44086021511</v>
      </c>
      <c r="J23" s="29">
        <f>IF(C10="Sí",G10*'2. Estacionalidad'!D14,0)</f>
        <v>428763.44086021511</v>
      </c>
      <c r="K23" s="29">
        <f>IF(C10="Sí",G10*'2. Estacionalidad'!D15,0)</f>
        <v>428763.44086021511</v>
      </c>
      <c r="L23" s="29">
        <f>IF(C10="Sí",G10*'2. Estacionalidad'!D16,0)</f>
        <v>428763.44086021511</v>
      </c>
      <c r="M23" s="29">
        <f>IF(C10="Sí",G10*'2. Estacionalidad'!D17,0)</f>
        <v>428763.44086021511</v>
      </c>
      <c r="N23" s="29">
        <f>IF(C10="Sí",G10*'2. Estacionalidad'!D18,0)</f>
        <v>428763.44086021511</v>
      </c>
      <c r="O23" s="29">
        <f t="shared" si="4"/>
        <v>5145161.2903225813</v>
      </c>
    </row>
    <row r="24" spans="2:15" x14ac:dyDescent="0.2">
      <c r="B24" s="27" t="str">
        <f t="shared" si="3"/>
        <v>Marketing</v>
      </c>
      <c r="C24" s="29">
        <f>IF(C11="Sí",G11*'2. Estacionalidad'!D7,0)</f>
        <v>974462.36559139797</v>
      </c>
      <c r="D24" s="29">
        <f>IF(C11="Sí",G11*'2. Estacionalidad'!D8,0)</f>
        <v>974462.36559139797</v>
      </c>
      <c r="E24" s="29">
        <f>IF(C11="Sí",G11*'2. Estacionalidad'!D9,0)</f>
        <v>974462.36559139797</v>
      </c>
      <c r="F24" s="29">
        <f>IF(C11="Sí",G11*'2. Estacionalidad'!D10,0)</f>
        <v>974462.36559139797</v>
      </c>
      <c r="G24" s="29">
        <f>IF(C11="Sí",G11*'2. Estacionalidad'!D11,0)</f>
        <v>974462.36559139797</v>
      </c>
      <c r="H24" s="29">
        <f>IF(C11="Sí",G11*'2. Estacionalidad'!D12,0)</f>
        <v>974462.36559139797</v>
      </c>
      <c r="I24" s="29">
        <f>IF(C11="Sí",G11*'2. Estacionalidad'!D13,0)</f>
        <v>974462.36559139797</v>
      </c>
      <c r="J24" s="29">
        <f>IF(C11="Sí",G11*'2. Estacionalidad'!D14,0)</f>
        <v>974462.36559139797</v>
      </c>
      <c r="K24" s="29">
        <f>IF(C11="Sí",G11*'2. Estacionalidad'!D15,0)</f>
        <v>974462.36559139797</v>
      </c>
      <c r="L24" s="29">
        <f>IF(C11="Sí",G11*'2. Estacionalidad'!D16,0)</f>
        <v>974462.36559139797</v>
      </c>
      <c r="M24" s="29">
        <f>IF(C11="Sí",G11*'2. Estacionalidad'!D17,0)</f>
        <v>974462.36559139797</v>
      </c>
      <c r="N24" s="29">
        <f>IF(C11="Sí",G11*'2. Estacionalidad'!D18,0)</f>
        <v>974462.36559139797</v>
      </c>
      <c r="O24" s="29">
        <f t="shared" si="4"/>
        <v>11693548.387096772</v>
      </c>
    </row>
    <row r="25" spans="2:15" x14ac:dyDescent="0.2">
      <c r="B25" s="27" t="str">
        <f t="shared" si="3"/>
        <v>RH</v>
      </c>
      <c r="C25" s="29">
        <f>IF(C12="Sí",G12*'2. Estacionalidad'!D7,0)</f>
        <v>311827.95698924729</v>
      </c>
      <c r="D25" s="29">
        <f>IF(C12="Sí",G12*'2. Estacionalidad'!D8,0)</f>
        <v>311827.95698924729</v>
      </c>
      <c r="E25" s="29">
        <f>IF(C12="Sí",G12*'2. Estacionalidad'!D9,0)</f>
        <v>311827.95698924729</v>
      </c>
      <c r="F25" s="29">
        <f>IF(C12="Sí",G12*'2. Estacionalidad'!D10,0)</f>
        <v>311827.95698924729</v>
      </c>
      <c r="G25" s="29">
        <f>IF(C12="Sí",G12*'2. Estacionalidad'!D11,0)</f>
        <v>311827.95698924729</v>
      </c>
      <c r="H25" s="29">
        <f>IF(C12="Sí",G12*'2. Estacionalidad'!D12,0)</f>
        <v>311827.95698924729</v>
      </c>
      <c r="I25" s="29">
        <f>IF(C12="Sí",G12*'2. Estacionalidad'!D13,0)</f>
        <v>311827.95698924729</v>
      </c>
      <c r="J25" s="29">
        <f>IF(C12="Sí",G12*'2. Estacionalidad'!D14,0)</f>
        <v>311827.95698924729</v>
      </c>
      <c r="K25" s="29">
        <f>IF(C12="Sí",G12*'2. Estacionalidad'!D15,0)</f>
        <v>311827.95698924729</v>
      </c>
      <c r="L25" s="29">
        <f>IF(C12="Sí",G12*'2. Estacionalidad'!D16,0)</f>
        <v>311827.95698924729</v>
      </c>
      <c r="M25" s="29">
        <f>IF(C12="Sí",G12*'2. Estacionalidad'!D17,0)</f>
        <v>311827.95698924729</v>
      </c>
      <c r="N25" s="29">
        <f>IF(C12="Sí",G12*'2. Estacionalidad'!D18,0)</f>
        <v>311827.95698924729</v>
      </c>
      <c r="O25" s="29">
        <f t="shared" si="4"/>
        <v>3741935.4838709678</v>
      </c>
    </row>
    <row r="26" spans="2:15" x14ac:dyDescent="0.2">
      <c r="B26" s="27" t="str">
        <f t="shared" si="3"/>
        <v>Admin</v>
      </c>
      <c r="C26" s="29">
        <f>IF(C13="Sí",G13*'2. Estacionalidad'!D7,0)</f>
        <v>311827.95698924729</v>
      </c>
      <c r="D26" s="29">
        <f>IF(C13="Sí",G13*'2. Estacionalidad'!D8,0)</f>
        <v>311827.95698924729</v>
      </c>
      <c r="E26" s="29">
        <f>IF(C13="Sí",G13*'2. Estacionalidad'!D9,0)</f>
        <v>311827.95698924729</v>
      </c>
      <c r="F26" s="29">
        <f>IF(C13="Sí",G13*'2. Estacionalidad'!D10,0)</f>
        <v>311827.95698924729</v>
      </c>
      <c r="G26" s="29">
        <f>IF(C13="Sí",G13*'2. Estacionalidad'!D11,0)</f>
        <v>311827.95698924729</v>
      </c>
      <c r="H26" s="29">
        <f>IF(C13="Sí",G13*'2. Estacionalidad'!D12,0)</f>
        <v>311827.95698924729</v>
      </c>
      <c r="I26" s="29">
        <f>IF(C13="Sí",G13*'2. Estacionalidad'!D13,0)</f>
        <v>311827.95698924729</v>
      </c>
      <c r="J26" s="29">
        <f>IF(C13="Sí",G13*'2. Estacionalidad'!D14,0)</f>
        <v>311827.95698924729</v>
      </c>
      <c r="K26" s="29">
        <f>IF(C13="Sí",G13*'2. Estacionalidad'!D15,0)</f>
        <v>311827.95698924729</v>
      </c>
      <c r="L26" s="29">
        <f>IF(C13="Sí",G13*'2. Estacionalidad'!D16,0)</f>
        <v>311827.95698924729</v>
      </c>
      <c r="M26" s="29">
        <f>IF(C13="Sí",G13*'2. Estacionalidad'!D17,0)</f>
        <v>311827.95698924729</v>
      </c>
      <c r="N26" s="29">
        <f>IF(C13="Sí",G13*'2. Estacionalidad'!D18,0)</f>
        <v>311827.95698924729</v>
      </c>
      <c r="O26" s="29">
        <f t="shared" si="4"/>
        <v>3741935.4838709678</v>
      </c>
    </row>
    <row r="27" spans="2:15" x14ac:dyDescent="0.2">
      <c r="B27" s="27" t="str">
        <f t="shared" si="3"/>
        <v>Comisiones</v>
      </c>
      <c r="C27" s="29">
        <f>IF(C14="Sí",'2. Estacionalidad'!C7*$C$5,0)</f>
        <v>83333.333333333328</v>
      </c>
      <c r="D27" s="29">
        <f>IF(C14="Sí",'2. Estacionalidad'!C8*$C$5,0)</f>
        <v>83333.333333333328</v>
      </c>
      <c r="E27" s="29">
        <f>IF(C14="Sí",'2. Estacionalidad'!C9*$C$5,0)</f>
        <v>83333.333333333328</v>
      </c>
      <c r="F27" s="29">
        <f>IF(C14="Sí",'2. Estacionalidad'!C10*$C$5,0)</f>
        <v>83333.333333333328</v>
      </c>
      <c r="G27" s="29">
        <f>IF(C14="Sí",'2. Estacionalidad'!C11*$C$5,0)</f>
        <v>83333.333333333328</v>
      </c>
      <c r="H27" s="29">
        <f>IF(C14="Sí",'2. Estacionalidad'!C12*$C$5,0)</f>
        <v>83333.333333333328</v>
      </c>
      <c r="I27" s="29">
        <f>IF(C14="Sí",'2. Estacionalidad'!C13*$C$5,0)</f>
        <v>83333.333333333328</v>
      </c>
      <c r="J27" s="29">
        <f>IF(C14="Sí",'2. Estacionalidad'!C14*$C$5,0)</f>
        <v>83333.333333333328</v>
      </c>
      <c r="K27" s="29">
        <f>IF(C14="Sí",'2. Estacionalidad'!C15*$C$5,0)</f>
        <v>83333.333333333328</v>
      </c>
      <c r="L27" s="29">
        <f>IF(C14="Sí",'2. Estacionalidad'!C16*$C$5,0)</f>
        <v>83333.333333333328</v>
      </c>
      <c r="M27" s="29">
        <f>IF(C14="Sí",'2. Estacionalidad'!C17*$C$5,0)</f>
        <v>83333.333333333328</v>
      </c>
      <c r="N27" s="29">
        <f>IF(C14="Sí",'2. Estacionalidad'!C18*$C$5,0)</f>
        <v>83333.333333333328</v>
      </c>
      <c r="O27" s="29">
        <f t="shared" si="4"/>
        <v>1000000.0000000001</v>
      </c>
    </row>
    <row r="28" spans="2:15" x14ac:dyDescent="0.2">
      <c r="B28" s="27" t="str">
        <f t="shared" si="3"/>
        <v>Logística</v>
      </c>
      <c r="C28" s="29">
        <f>IF(C15="Sí",G15*'2. Estacionalidad'!D7,0)</f>
        <v>0</v>
      </c>
      <c r="D28" s="29">
        <f>IF(C15="Sí",G15*'2. Estacionalidad'!D8,0)</f>
        <v>0</v>
      </c>
      <c r="E28" s="29">
        <f>IF(C15="Sí",G15*'2. Estacionalidad'!D9,0)</f>
        <v>0</v>
      </c>
      <c r="F28" s="29">
        <f>IF(C15="Sí",G15*'2. Estacionalidad'!D10,0)</f>
        <v>0</v>
      </c>
      <c r="G28" s="29">
        <f>IF(C15="Sí",G15*'2. Estacionalidad'!D11,0)</f>
        <v>0</v>
      </c>
      <c r="H28" s="29">
        <f>IF(C15="Sí",G15*'2. Estacionalidad'!D12,0)</f>
        <v>0</v>
      </c>
      <c r="I28" s="29">
        <f>IF(C15="Sí",G15*'2. Estacionalidad'!D13,0)</f>
        <v>0</v>
      </c>
      <c r="J28" s="29">
        <f>IF(C15="Sí",G15*'2. Estacionalidad'!D14,0)</f>
        <v>0</v>
      </c>
      <c r="K28" s="29">
        <f>IF(C15="Sí",G15*'2. Estacionalidad'!D15,0)</f>
        <v>0</v>
      </c>
      <c r="L28" s="29">
        <f>IF(C15="Sí",G15*'2. Estacionalidad'!D16,0)</f>
        <v>0</v>
      </c>
      <c r="M28" s="29">
        <f>IF(C15="Sí",G15*'2. Estacionalidad'!D17,0)</f>
        <v>0</v>
      </c>
      <c r="N28" s="29">
        <f>IF(C15="Sí",G15*'2. Estacionalidad'!D18,0)</f>
        <v>0</v>
      </c>
      <c r="O28" s="29">
        <f t="shared" si="4"/>
        <v>0</v>
      </c>
    </row>
    <row r="29" spans="2:15" x14ac:dyDescent="0.2">
      <c r="B29" s="27" t="str">
        <f t="shared" si="3"/>
        <v>Construcción</v>
      </c>
      <c r="C29" s="29">
        <f>IF(C16="Sí",G16*'2. Estacionalidad'!D7,0)</f>
        <v>0</v>
      </c>
      <c r="D29" s="29">
        <f>IF(C16="Sí",G16*'2. Estacionalidad'!D8,0)</f>
        <v>0</v>
      </c>
      <c r="E29" s="29">
        <f>IF(C16="Sí",G16*'2. Estacionalidad'!D9,0)</f>
        <v>0</v>
      </c>
      <c r="F29" s="29">
        <f>IF(C16="Sí",G16*'2. Estacionalidad'!D10,0)</f>
        <v>0</v>
      </c>
      <c r="G29" s="29">
        <f>IF(C16="Sí",G16*'2. Estacionalidad'!D11,0)</f>
        <v>0</v>
      </c>
      <c r="H29" s="29">
        <f>IF(C16="Sí",G16*'2. Estacionalidad'!D12,0)</f>
        <v>0</v>
      </c>
      <c r="I29" s="29">
        <f>IF(C16="Sí",G16*'2. Estacionalidad'!D13,0)</f>
        <v>0</v>
      </c>
      <c r="J29" s="29">
        <f>IF(C16="Sí",G16*'2. Estacionalidad'!D14,0)</f>
        <v>0</v>
      </c>
      <c r="K29" s="29">
        <f>IF(C16="Sí",G16*'2. Estacionalidad'!D15,0)</f>
        <v>0</v>
      </c>
      <c r="L29" s="29">
        <f>IF(C16="Sí",G16*'2. Estacionalidad'!D16,0)</f>
        <v>0</v>
      </c>
      <c r="M29" s="29">
        <f>IF(C16="Sí",G16*'2. Estacionalidad'!D17,0)</f>
        <v>0</v>
      </c>
      <c r="N29" s="29">
        <f>IF(C16="Sí",G16*'2. Estacionalidad'!D18,0)</f>
        <v>0</v>
      </c>
      <c r="O29" s="29">
        <f t="shared" si="4"/>
        <v>0</v>
      </c>
    </row>
    <row r="30" spans="2:15" ht="16" x14ac:dyDescent="0.2">
      <c r="B30" s="30" t="s">
        <v>85</v>
      </c>
      <c r="C30" s="31">
        <f t="shared" ref="C30:O30" si="5">SUM(C21:C29)</f>
        <v>2500000.0000000005</v>
      </c>
      <c r="D30" s="31">
        <f t="shared" si="5"/>
        <v>2500000.0000000005</v>
      </c>
      <c r="E30" s="31">
        <f t="shared" si="5"/>
        <v>2500000.0000000005</v>
      </c>
      <c r="F30" s="31">
        <f t="shared" si="5"/>
        <v>2500000.0000000005</v>
      </c>
      <c r="G30" s="31">
        <f t="shared" si="5"/>
        <v>2500000.0000000005</v>
      </c>
      <c r="H30" s="31">
        <f t="shared" si="5"/>
        <v>2500000.0000000005</v>
      </c>
      <c r="I30" s="31">
        <f t="shared" si="5"/>
        <v>2500000.0000000005</v>
      </c>
      <c r="J30" s="31">
        <f t="shared" si="5"/>
        <v>2500000.0000000005</v>
      </c>
      <c r="K30" s="31">
        <f t="shared" si="5"/>
        <v>2500000.0000000005</v>
      </c>
      <c r="L30" s="31">
        <f t="shared" si="5"/>
        <v>2500000.0000000005</v>
      </c>
      <c r="M30" s="31">
        <f t="shared" si="5"/>
        <v>2500000.0000000005</v>
      </c>
      <c r="N30" s="31">
        <f t="shared" si="5"/>
        <v>2500000.0000000005</v>
      </c>
      <c r="O30" s="32">
        <f t="shared" si="5"/>
        <v>30000000</v>
      </c>
    </row>
  </sheetData>
  <mergeCells count="1">
    <mergeCell ref="B19:N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P42"/>
  <sheetViews>
    <sheetView tabSelected="1" workbookViewId="0">
      <pane xSplit="1" ySplit="2" topLeftCell="B7" activePane="bottomRight" state="frozen"/>
      <selection pane="topRight"/>
      <selection pane="bottomLeft"/>
      <selection pane="bottomRight" activeCell="E7" sqref="E7"/>
    </sheetView>
  </sheetViews>
  <sheetFormatPr baseColWidth="10" defaultColWidth="8.83203125" defaultRowHeight="15" x14ac:dyDescent="0.2"/>
  <cols>
    <col min="1" max="1" width="4" customWidth="1"/>
    <col min="2" max="2" width="22" customWidth="1"/>
    <col min="3" max="3" width="24" customWidth="1"/>
    <col min="4" max="4" width="28" customWidth="1"/>
    <col min="5" max="16" width="14" customWidth="1"/>
  </cols>
  <sheetData>
    <row r="1" spans="2:16" ht="19" x14ac:dyDescent="0.25">
      <c r="B1" s="8" t="s">
        <v>86</v>
      </c>
    </row>
    <row r="3" spans="2:16" x14ac:dyDescent="0.2">
      <c r="B3" s="9" t="s">
        <v>87</v>
      </c>
      <c r="C3" s="7" t="str">
        <f>'1. Configuración'!C3</f>
        <v>Acme SA de CV</v>
      </c>
    </row>
    <row r="5" spans="2:16" ht="16" x14ac:dyDescent="0.2">
      <c r="B5" s="13" t="s">
        <v>29</v>
      </c>
      <c r="C5" s="13" t="s">
        <v>88</v>
      </c>
      <c r="D5" s="13" t="s">
        <v>89</v>
      </c>
      <c r="E5" s="13" t="s">
        <v>57</v>
      </c>
      <c r="F5" s="13" t="s">
        <v>58</v>
      </c>
      <c r="G5" s="13" t="s">
        <v>59</v>
      </c>
      <c r="H5" s="13" t="s">
        <v>60</v>
      </c>
      <c r="I5" s="13" t="s">
        <v>61</v>
      </c>
      <c r="J5" s="13" t="s">
        <v>62</v>
      </c>
      <c r="K5" s="13" t="s">
        <v>63</v>
      </c>
      <c r="L5" s="13" t="s">
        <v>64</v>
      </c>
      <c r="M5" s="13" t="s">
        <v>65</v>
      </c>
      <c r="N5" s="13" t="s">
        <v>66</v>
      </c>
      <c r="O5" s="13" t="s">
        <v>67</v>
      </c>
      <c r="P5" s="13" t="s">
        <v>68</v>
      </c>
    </row>
    <row r="6" spans="2:16" ht="32" x14ac:dyDescent="0.2">
      <c r="B6" s="33" t="s">
        <v>35</v>
      </c>
      <c r="C6" s="34" t="s">
        <v>90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</row>
    <row r="7" spans="2:16" ht="32" x14ac:dyDescent="0.2">
      <c r="B7" s="34"/>
      <c r="C7" s="34" t="s">
        <v>91</v>
      </c>
      <c r="D7" s="35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</row>
    <row r="8" spans="2:16" ht="16" x14ac:dyDescent="0.2">
      <c r="B8" s="34"/>
      <c r="C8" s="34" t="s">
        <v>92</v>
      </c>
      <c r="D8" s="23" t="s">
        <v>93</v>
      </c>
      <c r="E8" s="29">
        <f>'3. Matriz Proyección'!C21</f>
        <v>155913.97849462365</v>
      </c>
      <c r="F8" s="29">
        <f>'3. Matriz Proyección'!D21</f>
        <v>155913.97849462365</v>
      </c>
      <c r="G8" s="29">
        <f>'3. Matriz Proyección'!E21</f>
        <v>155913.97849462365</v>
      </c>
      <c r="H8" s="29">
        <f>'3. Matriz Proyección'!F21</f>
        <v>155913.97849462365</v>
      </c>
      <c r="I8" s="29">
        <f>'3. Matriz Proyección'!G21</f>
        <v>155913.97849462365</v>
      </c>
      <c r="J8" s="29">
        <f>'3. Matriz Proyección'!H21</f>
        <v>155913.97849462365</v>
      </c>
      <c r="K8" s="29">
        <f>'3. Matriz Proyección'!I21</f>
        <v>155913.97849462365</v>
      </c>
      <c r="L8" s="29">
        <f>'3. Matriz Proyección'!J21</f>
        <v>155913.97849462365</v>
      </c>
      <c r="M8" s="29">
        <f>'3. Matriz Proyección'!K21</f>
        <v>155913.97849462365</v>
      </c>
      <c r="N8" s="29">
        <f>'3. Matriz Proyección'!L21</f>
        <v>155913.97849462365</v>
      </c>
      <c r="O8" s="29">
        <f>'3. Matriz Proyección'!M21</f>
        <v>155913.97849462365</v>
      </c>
      <c r="P8" s="29">
        <f>'3. Matriz Proyección'!N21</f>
        <v>155913.97849462365</v>
      </c>
    </row>
    <row r="10" spans="2:16" ht="32" x14ac:dyDescent="0.2">
      <c r="B10" s="33" t="s">
        <v>38</v>
      </c>
      <c r="C10" s="34" t="s">
        <v>90</v>
      </c>
      <c r="D10" s="35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2:16" ht="32" x14ac:dyDescent="0.2">
      <c r="B11" s="34"/>
      <c r="C11" s="34" t="s">
        <v>91</v>
      </c>
      <c r="D11" s="35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</row>
    <row r="12" spans="2:16" ht="16" x14ac:dyDescent="0.2">
      <c r="B12" s="34"/>
      <c r="C12" s="34" t="s">
        <v>92</v>
      </c>
      <c r="D12" s="23" t="s">
        <v>93</v>
      </c>
      <c r="E12" s="29">
        <f>'3. Matriz Proyección'!C22</f>
        <v>233870.96774193548</v>
      </c>
      <c r="F12" s="29">
        <f>'3. Matriz Proyección'!D22</f>
        <v>233870.96774193548</v>
      </c>
      <c r="G12" s="29">
        <f>'3. Matriz Proyección'!E22</f>
        <v>233870.96774193548</v>
      </c>
      <c r="H12" s="29">
        <f>'3. Matriz Proyección'!F22</f>
        <v>233870.96774193548</v>
      </c>
      <c r="I12" s="29">
        <f>'3. Matriz Proyección'!G22</f>
        <v>233870.96774193548</v>
      </c>
      <c r="J12" s="29">
        <f>'3. Matriz Proyección'!H22</f>
        <v>233870.96774193548</v>
      </c>
      <c r="K12" s="29">
        <f>'3. Matriz Proyección'!I22</f>
        <v>233870.96774193548</v>
      </c>
      <c r="L12" s="29">
        <f>'3. Matriz Proyección'!J22</f>
        <v>233870.96774193548</v>
      </c>
      <c r="M12" s="29">
        <f>'3. Matriz Proyección'!K22</f>
        <v>233870.96774193548</v>
      </c>
      <c r="N12" s="29">
        <f>'3. Matriz Proyección'!L22</f>
        <v>233870.96774193548</v>
      </c>
      <c r="O12" s="29">
        <f>'3. Matriz Proyección'!M22</f>
        <v>233870.96774193548</v>
      </c>
      <c r="P12" s="29">
        <f>'3. Matriz Proyección'!N22</f>
        <v>233870.96774193548</v>
      </c>
    </row>
    <row r="14" spans="2:16" ht="32" x14ac:dyDescent="0.2">
      <c r="B14" s="33" t="s">
        <v>39</v>
      </c>
      <c r="C14" s="34" t="s">
        <v>90</v>
      </c>
      <c r="D14" s="35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</row>
    <row r="15" spans="2:16" ht="32" x14ac:dyDescent="0.2">
      <c r="B15" s="34"/>
      <c r="C15" s="34" t="s">
        <v>91</v>
      </c>
      <c r="D15" s="35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</row>
    <row r="16" spans="2:16" ht="16" x14ac:dyDescent="0.2">
      <c r="B16" s="34"/>
      <c r="C16" s="34" t="s">
        <v>92</v>
      </c>
      <c r="D16" s="23" t="s">
        <v>93</v>
      </c>
      <c r="E16" s="29">
        <f>'3. Matriz Proyección'!C23</f>
        <v>428763.44086021511</v>
      </c>
      <c r="F16" s="29">
        <f>'3. Matriz Proyección'!D23</f>
        <v>428763.44086021511</v>
      </c>
      <c r="G16" s="29">
        <f>'3. Matriz Proyección'!E23</f>
        <v>428763.44086021511</v>
      </c>
      <c r="H16" s="29">
        <f>'3. Matriz Proyección'!F23</f>
        <v>428763.44086021511</v>
      </c>
      <c r="I16" s="29">
        <f>'3. Matriz Proyección'!G23</f>
        <v>428763.44086021511</v>
      </c>
      <c r="J16" s="29">
        <f>'3. Matriz Proyección'!H23</f>
        <v>428763.44086021511</v>
      </c>
      <c r="K16" s="29">
        <f>'3. Matriz Proyección'!I23</f>
        <v>428763.44086021511</v>
      </c>
      <c r="L16" s="29">
        <f>'3. Matriz Proyección'!J23</f>
        <v>428763.44086021511</v>
      </c>
      <c r="M16" s="29">
        <f>'3. Matriz Proyección'!K23</f>
        <v>428763.44086021511</v>
      </c>
      <c r="N16" s="29">
        <f>'3. Matriz Proyección'!L23</f>
        <v>428763.44086021511</v>
      </c>
      <c r="O16" s="29">
        <f>'3. Matriz Proyección'!M23</f>
        <v>428763.44086021511</v>
      </c>
      <c r="P16" s="29">
        <f>'3. Matriz Proyección'!N23</f>
        <v>428763.44086021511</v>
      </c>
    </row>
    <row r="18" spans="2:16" ht="32" x14ac:dyDescent="0.2">
      <c r="B18" s="33" t="s">
        <v>40</v>
      </c>
      <c r="C18" s="34" t="s">
        <v>90</v>
      </c>
      <c r="D18" s="35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</row>
    <row r="19" spans="2:16" ht="32" x14ac:dyDescent="0.2">
      <c r="B19" s="34"/>
      <c r="C19" s="34" t="s">
        <v>91</v>
      </c>
      <c r="D19" s="35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</row>
    <row r="20" spans="2:16" ht="16" x14ac:dyDescent="0.2">
      <c r="B20" s="34"/>
      <c r="C20" s="34" t="s">
        <v>92</v>
      </c>
      <c r="D20" s="23" t="s">
        <v>93</v>
      </c>
      <c r="E20" s="29">
        <f>'3. Matriz Proyección'!C24</f>
        <v>974462.36559139797</v>
      </c>
      <c r="F20" s="29">
        <f>'3. Matriz Proyección'!D24</f>
        <v>974462.36559139797</v>
      </c>
      <c r="G20" s="29">
        <f>'3. Matriz Proyección'!E24</f>
        <v>974462.36559139797</v>
      </c>
      <c r="H20" s="29">
        <f>'3. Matriz Proyección'!F24</f>
        <v>974462.36559139797</v>
      </c>
      <c r="I20" s="29">
        <f>'3. Matriz Proyección'!G24</f>
        <v>974462.36559139797</v>
      </c>
      <c r="J20" s="29">
        <f>'3. Matriz Proyección'!H24</f>
        <v>974462.36559139797</v>
      </c>
      <c r="K20" s="29">
        <f>'3. Matriz Proyección'!I24</f>
        <v>974462.36559139797</v>
      </c>
      <c r="L20" s="29">
        <f>'3. Matriz Proyección'!J24</f>
        <v>974462.36559139797</v>
      </c>
      <c r="M20" s="29">
        <f>'3. Matriz Proyección'!K24</f>
        <v>974462.36559139797</v>
      </c>
      <c r="N20" s="29">
        <f>'3. Matriz Proyección'!L24</f>
        <v>974462.36559139797</v>
      </c>
      <c r="O20" s="29">
        <f>'3. Matriz Proyección'!M24</f>
        <v>974462.36559139797</v>
      </c>
      <c r="P20" s="29">
        <f>'3. Matriz Proyección'!N24</f>
        <v>974462.36559139797</v>
      </c>
    </row>
    <row r="22" spans="2:16" ht="32" x14ac:dyDescent="0.2">
      <c r="B22" s="33" t="s">
        <v>41</v>
      </c>
      <c r="C22" s="34" t="s">
        <v>90</v>
      </c>
      <c r="D22" s="35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</row>
    <row r="23" spans="2:16" ht="32" x14ac:dyDescent="0.2">
      <c r="B23" s="34"/>
      <c r="C23" s="34" t="s">
        <v>91</v>
      </c>
      <c r="D23" s="35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</row>
    <row r="24" spans="2:16" ht="16" x14ac:dyDescent="0.2">
      <c r="B24" s="34"/>
      <c r="C24" s="34" t="s">
        <v>92</v>
      </c>
      <c r="D24" s="23" t="s">
        <v>93</v>
      </c>
      <c r="E24" s="29">
        <f>'3. Matriz Proyección'!C25</f>
        <v>311827.95698924729</v>
      </c>
      <c r="F24" s="29">
        <f>'3. Matriz Proyección'!D25</f>
        <v>311827.95698924729</v>
      </c>
      <c r="G24" s="29">
        <f>'3. Matriz Proyección'!E25</f>
        <v>311827.95698924729</v>
      </c>
      <c r="H24" s="29">
        <f>'3. Matriz Proyección'!F25</f>
        <v>311827.95698924729</v>
      </c>
      <c r="I24" s="29">
        <f>'3. Matriz Proyección'!G25</f>
        <v>311827.95698924729</v>
      </c>
      <c r="J24" s="29">
        <f>'3. Matriz Proyección'!H25</f>
        <v>311827.95698924729</v>
      </c>
      <c r="K24" s="29">
        <f>'3. Matriz Proyección'!I25</f>
        <v>311827.95698924729</v>
      </c>
      <c r="L24" s="29">
        <f>'3. Matriz Proyección'!J25</f>
        <v>311827.95698924729</v>
      </c>
      <c r="M24" s="29">
        <f>'3. Matriz Proyección'!K25</f>
        <v>311827.95698924729</v>
      </c>
      <c r="N24" s="29">
        <f>'3. Matriz Proyección'!L25</f>
        <v>311827.95698924729</v>
      </c>
      <c r="O24" s="29">
        <f>'3. Matriz Proyección'!M25</f>
        <v>311827.95698924729</v>
      </c>
      <c r="P24" s="29">
        <f>'3. Matriz Proyección'!N25</f>
        <v>311827.95698924729</v>
      </c>
    </row>
    <row r="26" spans="2:16" ht="32" x14ac:dyDescent="0.2">
      <c r="B26" s="33" t="s">
        <v>42</v>
      </c>
      <c r="C26" s="34" t="s">
        <v>90</v>
      </c>
      <c r="D26" s="35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</row>
    <row r="27" spans="2:16" ht="32" x14ac:dyDescent="0.2">
      <c r="B27" s="34"/>
      <c r="C27" s="34" t="s">
        <v>91</v>
      </c>
      <c r="D27" s="35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</row>
    <row r="28" spans="2:16" ht="16" x14ac:dyDescent="0.2">
      <c r="B28" s="34"/>
      <c r="C28" s="34" t="s">
        <v>92</v>
      </c>
      <c r="D28" s="23" t="s">
        <v>93</v>
      </c>
      <c r="E28" s="29">
        <f>'3. Matriz Proyección'!C26</f>
        <v>311827.95698924729</v>
      </c>
      <c r="F28" s="29">
        <f>'3. Matriz Proyección'!D26</f>
        <v>311827.95698924729</v>
      </c>
      <c r="G28" s="29">
        <f>'3. Matriz Proyección'!E26</f>
        <v>311827.95698924729</v>
      </c>
      <c r="H28" s="29">
        <f>'3. Matriz Proyección'!F26</f>
        <v>311827.95698924729</v>
      </c>
      <c r="I28" s="29">
        <f>'3. Matriz Proyección'!G26</f>
        <v>311827.95698924729</v>
      </c>
      <c r="J28" s="29">
        <f>'3. Matriz Proyección'!H26</f>
        <v>311827.95698924729</v>
      </c>
      <c r="K28" s="29">
        <f>'3. Matriz Proyección'!I26</f>
        <v>311827.95698924729</v>
      </c>
      <c r="L28" s="29">
        <f>'3. Matriz Proyección'!J26</f>
        <v>311827.95698924729</v>
      </c>
      <c r="M28" s="29">
        <f>'3. Matriz Proyección'!K26</f>
        <v>311827.95698924729</v>
      </c>
      <c r="N28" s="29">
        <f>'3. Matriz Proyección'!L26</f>
        <v>311827.95698924729</v>
      </c>
      <c r="O28" s="29">
        <f>'3. Matriz Proyección'!M26</f>
        <v>311827.95698924729</v>
      </c>
      <c r="P28" s="29">
        <f>'3. Matriz Proyección'!N26</f>
        <v>311827.95698924729</v>
      </c>
    </row>
    <row r="30" spans="2:16" ht="32" x14ac:dyDescent="0.2">
      <c r="B30" s="33" t="s">
        <v>43</v>
      </c>
      <c r="C30" s="34" t="s">
        <v>90</v>
      </c>
      <c r="D30" s="35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</row>
    <row r="31" spans="2:16" ht="32" x14ac:dyDescent="0.2">
      <c r="B31" s="34"/>
      <c r="C31" s="34" t="s">
        <v>91</v>
      </c>
      <c r="D31" s="35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</row>
    <row r="32" spans="2:16" ht="16" x14ac:dyDescent="0.2">
      <c r="B32" s="34"/>
      <c r="C32" s="34" t="s">
        <v>92</v>
      </c>
      <c r="D32" s="23" t="s">
        <v>93</v>
      </c>
      <c r="E32" s="29">
        <f>'3. Matriz Proyección'!C27</f>
        <v>83333.333333333328</v>
      </c>
      <c r="F32" s="29">
        <f>'3. Matriz Proyección'!D27</f>
        <v>83333.333333333328</v>
      </c>
      <c r="G32" s="29">
        <f>'3. Matriz Proyección'!E27</f>
        <v>83333.333333333328</v>
      </c>
      <c r="H32" s="29">
        <f>'3. Matriz Proyección'!F27</f>
        <v>83333.333333333328</v>
      </c>
      <c r="I32" s="29">
        <f>'3. Matriz Proyección'!G27</f>
        <v>83333.333333333328</v>
      </c>
      <c r="J32" s="29">
        <f>'3. Matriz Proyección'!H27</f>
        <v>83333.333333333328</v>
      </c>
      <c r="K32" s="29">
        <f>'3. Matriz Proyección'!I27</f>
        <v>83333.333333333328</v>
      </c>
      <c r="L32" s="29">
        <f>'3. Matriz Proyección'!J27</f>
        <v>83333.333333333328</v>
      </c>
      <c r="M32" s="29">
        <f>'3. Matriz Proyección'!K27</f>
        <v>83333.333333333328</v>
      </c>
      <c r="N32" s="29">
        <f>'3. Matriz Proyección'!L27</f>
        <v>83333.333333333328</v>
      </c>
      <c r="O32" s="29">
        <f>'3. Matriz Proyección'!M27</f>
        <v>83333.333333333328</v>
      </c>
      <c r="P32" s="29">
        <f>'3. Matriz Proyección'!N27</f>
        <v>83333.333333333328</v>
      </c>
    </row>
    <row r="34" spans="2:16" ht="32" x14ac:dyDescent="0.2">
      <c r="B34" s="33" t="s">
        <v>45</v>
      </c>
      <c r="C34" s="34" t="s">
        <v>90</v>
      </c>
      <c r="D34" s="35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</row>
    <row r="35" spans="2:16" ht="32" x14ac:dyDescent="0.2">
      <c r="B35" s="34"/>
      <c r="C35" s="34" t="s">
        <v>91</v>
      </c>
      <c r="D35" s="35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</row>
    <row r="36" spans="2:16" ht="16" x14ac:dyDescent="0.2">
      <c r="B36" s="34"/>
      <c r="C36" s="34" t="s">
        <v>92</v>
      </c>
      <c r="D36" s="23" t="s">
        <v>93</v>
      </c>
      <c r="E36" s="29">
        <f>'3. Matriz Proyección'!C28</f>
        <v>0</v>
      </c>
      <c r="F36" s="29">
        <f>'3. Matriz Proyección'!D28</f>
        <v>0</v>
      </c>
      <c r="G36" s="29">
        <f>'3. Matriz Proyección'!E28</f>
        <v>0</v>
      </c>
      <c r="H36" s="29">
        <f>'3. Matriz Proyección'!F28</f>
        <v>0</v>
      </c>
      <c r="I36" s="29">
        <f>'3. Matriz Proyección'!G28</f>
        <v>0</v>
      </c>
      <c r="J36" s="29">
        <f>'3. Matriz Proyección'!H28</f>
        <v>0</v>
      </c>
      <c r="K36" s="29">
        <f>'3. Matriz Proyección'!I28</f>
        <v>0</v>
      </c>
      <c r="L36" s="29">
        <f>'3. Matriz Proyección'!J28</f>
        <v>0</v>
      </c>
      <c r="M36" s="29">
        <f>'3. Matriz Proyección'!K28</f>
        <v>0</v>
      </c>
      <c r="N36" s="29">
        <f>'3. Matriz Proyección'!L28</f>
        <v>0</v>
      </c>
      <c r="O36" s="29">
        <f>'3. Matriz Proyección'!M28</f>
        <v>0</v>
      </c>
      <c r="P36" s="29">
        <f>'3. Matriz Proyección'!N28</f>
        <v>0</v>
      </c>
    </row>
    <row r="38" spans="2:16" ht="32" x14ac:dyDescent="0.2">
      <c r="B38" s="33" t="s">
        <v>47</v>
      </c>
      <c r="C38" s="34" t="s">
        <v>90</v>
      </c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</row>
    <row r="39" spans="2:16" ht="32" x14ac:dyDescent="0.2">
      <c r="B39" s="34"/>
      <c r="C39" s="34" t="s">
        <v>91</v>
      </c>
      <c r="D39" s="35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</row>
    <row r="40" spans="2:16" ht="16" x14ac:dyDescent="0.2">
      <c r="B40" s="34"/>
      <c r="C40" s="34" t="s">
        <v>92</v>
      </c>
      <c r="D40" s="23" t="s">
        <v>93</v>
      </c>
      <c r="E40" s="29">
        <f>'3. Matriz Proyección'!C29</f>
        <v>0</v>
      </c>
      <c r="F40" s="29">
        <f>'3. Matriz Proyección'!D29</f>
        <v>0</v>
      </c>
      <c r="G40" s="29">
        <f>'3. Matriz Proyección'!E29</f>
        <v>0</v>
      </c>
      <c r="H40" s="29">
        <f>'3. Matriz Proyección'!F29</f>
        <v>0</v>
      </c>
      <c r="I40" s="29">
        <f>'3. Matriz Proyección'!G29</f>
        <v>0</v>
      </c>
      <c r="J40" s="29">
        <f>'3. Matriz Proyección'!H29</f>
        <v>0</v>
      </c>
      <c r="K40" s="29">
        <f>'3. Matriz Proyección'!I29</f>
        <v>0</v>
      </c>
      <c r="L40" s="29">
        <f>'3. Matriz Proyección'!J29</f>
        <v>0</v>
      </c>
      <c r="M40" s="29">
        <f>'3. Matriz Proyección'!K29</f>
        <v>0</v>
      </c>
      <c r="N40" s="29">
        <f>'3. Matriz Proyección'!L29</f>
        <v>0</v>
      </c>
      <c r="O40" s="29">
        <f>'3. Matriz Proyección'!M29</f>
        <v>0</v>
      </c>
      <c r="P40" s="29">
        <f>'3. Matriz Proyección'!N29</f>
        <v>0</v>
      </c>
    </row>
    <row r="42" spans="2:16" ht="16" x14ac:dyDescent="0.2">
      <c r="B42" s="30" t="s">
        <v>94</v>
      </c>
      <c r="C42" s="30" t="s">
        <v>95</v>
      </c>
      <c r="D42" s="37"/>
      <c r="E42" s="31">
        <f t="shared" ref="E42:P42" si="0">SUM(E8,E12,E16,E20,E24,E28,E32,E36,E40)</f>
        <v>2500000.0000000005</v>
      </c>
      <c r="F42" s="31">
        <f t="shared" si="0"/>
        <v>2500000.0000000005</v>
      </c>
      <c r="G42" s="31">
        <f t="shared" si="0"/>
        <v>2500000.0000000005</v>
      </c>
      <c r="H42" s="31">
        <f t="shared" si="0"/>
        <v>2500000.0000000005</v>
      </c>
      <c r="I42" s="31">
        <f t="shared" si="0"/>
        <v>2500000.0000000005</v>
      </c>
      <c r="J42" s="31">
        <f t="shared" si="0"/>
        <v>2500000.0000000005</v>
      </c>
      <c r="K42" s="31">
        <f t="shared" si="0"/>
        <v>2500000.0000000005</v>
      </c>
      <c r="L42" s="31">
        <f t="shared" si="0"/>
        <v>2500000.0000000005</v>
      </c>
      <c r="M42" s="31">
        <f t="shared" si="0"/>
        <v>2500000.0000000005</v>
      </c>
      <c r="N42" s="31">
        <f t="shared" si="0"/>
        <v>2500000.0000000005</v>
      </c>
      <c r="O42" s="31">
        <f t="shared" si="0"/>
        <v>2500000.0000000005</v>
      </c>
      <c r="P42" s="31">
        <f t="shared" si="0"/>
        <v>2500000.0000000005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16"/>
  <sheetViews>
    <sheetView zoomScale="200" workbookViewId="0">
      <pane xSplit="1" ySplit="2" topLeftCell="B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" customWidth="1"/>
    <col min="2" max="2" width="14" customWidth="1"/>
    <col min="3" max="14" width="18" customWidth="1"/>
  </cols>
  <sheetData>
    <row r="1" spans="2:14" ht="19" x14ac:dyDescent="0.25">
      <c r="B1" s="8" t="s">
        <v>96</v>
      </c>
    </row>
    <row r="2" spans="2:14" x14ac:dyDescent="0.2">
      <c r="B2" s="40" t="s">
        <v>97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3" spans="2:14" ht="32" x14ac:dyDescent="0.2">
      <c r="B3" s="13" t="s">
        <v>53</v>
      </c>
      <c r="C3" s="13" t="s">
        <v>98</v>
      </c>
      <c r="D3" s="13" t="s">
        <v>99</v>
      </c>
      <c r="E3" s="13" t="s">
        <v>100</v>
      </c>
    </row>
    <row r="4" spans="2:14" ht="16" x14ac:dyDescent="0.2">
      <c r="B4" s="15" t="s">
        <v>57</v>
      </c>
      <c r="C4" s="29">
        <f>'2. Estacionalidad'!C7</f>
        <v>4166666.6666666665</v>
      </c>
      <c r="D4" s="29">
        <f>'3. Matriz Proyección'!C30</f>
        <v>2500000.0000000005</v>
      </c>
      <c r="E4" s="29">
        <f>D4-('1. Configuración'!C5/12)</f>
        <v>0</v>
      </c>
    </row>
    <row r="5" spans="2:14" ht="16" x14ac:dyDescent="0.2">
      <c r="B5" s="15" t="s">
        <v>58</v>
      </c>
      <c r="C5" s="29">
        <f>'2. Estacionalidad'!C8</f>
        <v>4166666.6666666665</v>
      </c>
      <c r="D5" s="29">
        <f>'3. Matriz Proyección'!D30</f>
        <v>2500000.0000000005</v>
      </c>
      <c r="E5" s="29">
        <f>D5-('1. Configuración'!C5/12)</f>
        <v>0</v>
      </c>
    </row>
    <row r="6" spans="2:14" ht="16" x14ac:dyDescent="0.2">
      <c r="B6" s="15" t="s">
        <v>59</v>
      </c>
      <c r="C6" s="29">
        <f>'2. Estacionalidad'!C9</f>
        <v>4166666.6666666665</v>
      </c>
      <c r="D6" s="29">
        <f>'3. Matriz Proyección'!E30</f>
        <v>2500000.0000000005</v>
      </c>
      <c r="E6" s="29">
        <f>D6-('1. Configuración'!C5/12)</f>
        <v>0</v>
      </c>
    </row>
    <row r="7" spans="2:14" ht="16" x14ac:dyDescent="0.2">
      <c r="B7" s="15" t="s">
        <v>60</v>
      </c>
      <c r="C7" s="29">
        <f>'2. Estacionalidad'!C10</f>
        <v>4166666.6666666665</v>
      </c>
      <c r="D7" s="29">
        <f>'3. Matriz Proyección'!F30</f>
        <v>2500000.0000000005</v>
      </c>
      <c r="E7" s="29">
        <f>D7-('1. Configuración'!C5/12)</f>
        <v>0</v>
      </c>
    </row>
    <row r="8" spans="2:14" ht="16" x14ac:dyDescent="0.2">
      <c r="B8" s="15" t="s">
        <v>61</v>
      </c>
      <c r="C8" s="29">
        <f>'2. Estacionalidad'!C11</f>
        <v>4166666.6666666665</v>
      </c>
      <c r="D8" s="29">
        <f>'3. Matriz Proyección'!G30</f>
        <v>2500000.0000000005</v>
      </c>
      <c r="E8" s="29">
        <f>D8-('1. Configuración'!C5/12)</f>
        <v>0</v>
      </c>
    </row>
    <row r="9" spans="2:14" ht="16" x14ac:dyDescent="0.2">
      <c r="B9" s="15" t="s">
        <v>62</v>
      </c>
      <c r="C9" s="29">
        <f>'2. Estacionalidad'!C12</f>
        <v>4166666.6666666665</v>
      </c>
      <c r="D9" s="29">
        <f>'3. Matriz Proyección'!H30</f>
        <v>2500000.0000000005</v>
      </c>
      <c r="E9" s="29">
        <f>D9-('1. Configuración'!C5/12)</f>
        <v>0</v>
      </c>
    </row>
    <row r="10" spans="2:14" ht="16" x14ac:dyDescent="0.2">
      <c r="B10" s="15" t="s">
        <v>63</v>
      </c>
      <c r="C10" s="29">
        <f>'2. Estacionalidad'!C13</f>
        <v>4166666.6666666665</v>
      </c>
      <c r="D10" s="29">
        <f>'3. Matriz Proyección'!I30</f>
        <v>2500000.0000000005</v>
      </c>
      <c r="E10" s="29">
        <f>D10-('1. Configuración'!C5/12)</f>
        <v>0</v>
      </c>
    </row>
    <row r="11" spans="2:14" ht="16" x14ac:dyDescent="0.2">
      <c r="B11" s="15" t="s">
        <v>64</v>
      </c>
      <c r="C11" s="29">
        <f>'2. Estacionalidad'!C14</f>
        <v>4166666.6666666665</v>
      </c>
      <c r="D11" s="29">
        <f>'3. Matriz Proyección'!J30</f>
        <v>2500000.0000000005</v>
      </c>
      <c r="E11" s="29">
        <f>D11-('1. Configuración'!C5/12)</f>
        <v>0</v>
      </c>
    </row>
    <row r="12" spans="2:14" ht="16" x14ac:dyDescent="0.2">
      <c r="B12" s="15" t="s">
        <v>65</v>
      </c>
      <c r="C12" s="29">
        <f>'2. Estacionalidad'!C15</f>
        <v>4166666.6666666665</v>
      </c>
      <c r="D12" s="29">
        <f>'3. Matriz Proyección'!K30</f>
        <v>2500000.0000000005</v>
      </c>
      <c r="E12" s="29">
        <f>D12-('1. Configuración'!C5/12)</f>
        <v>0</v>
      </c>
    </row>
    <row r="13" spans="2:14" ht="16" x14ac:dyDescent="0.2">
      <c r="B13" s="15" t="s">
        <v>66</v>
      </c>
      <c r="C13" s="29">
        <f>'2. Estacionalidad'!C16</f>
        <v>4166666.6666666665</v>
      </c>
      <c r="D13" s="29">
        <f>'3. Matriz Proyección'!L30</f>
        <v>2500000.0000000005</v>
      </c>
      <c r="E13" s="29">
        <f>D13-('1. Configuración'!C5/12)</f>
        <v>0</v>
      </c>
    </row>
    <row r="14" spans="2:14" ht="16" x14ac:dyDescent="0.2">
      <c r="B14" s="15" t="s">
        <v>67</v>
      </c>
      <c r="C14" s="29">
        <f>'2. Estacionalidad'!C17</f>
        <v>4166666.6666666665</v>
      </c>
      <c r="D14" s="29">
        <f>'3. Matriz Proyección'!M30</f>
        <v>2500000.0000000005</v>
      </c>
      <c r="E14" s="29">
        <f>D14-('1. Configuración'!C5/12)</f>
        <v>0</v>
      </c>
    </row>
    <row r="15" spans="2:14" ht="16" x14ac:dyDescent="0.2">
      <c r="B15" s="15" t="s">
        <v>68</v>
      </c>
      <c r="C15" s="29">
        <f>'2. Estacionalidad'!C18</f>
        <v>4166666.6666666665</v>
      </c>
      <c r="D15" s="29">
        <f>'3. Matriz Proyección'!N30</f>
        <v>2500000.0000000005</v>
      </c>
      <c r="E15" s="29">
        <f>D15-('1. Configuración'!C5/12)</f>
        <v>0</v>
      </c>
    </row>
    <row r="16" spans="2:14" ht="16" x14ac:dyDescent="0.2">
      <c r="B16" s="30" t="s">
        <v>85</v>
      </c>
      <c r="C16" s="32">
        <f>SUM(C4:C15)</f>
        <v>49999999.999999993</v>
      </c>
      <c r="D16" s="32">
        <f>SUM(D4:D15)</f>
        <v>30000000.000000004</v>
      </c>
      <c r="E16" s="32">
        <f>SUM(E4:E15)</f>
        <v>0</v>
      </c>
    </row>
  </sheetData>
  <mergeCells count="1">
    <mergeCell ref="B2:N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0. Guía</vt:lpstr>
      <vt:lpstr>1. Configuración</vt:lpstr>
      <vt:lpstr>2. Estacionalidad</vt:lpstr>
      <vt:lpstr>3. Matriz Proyección</vt:lpstr>
      <vt:lpstr>4. Facturación</vt:lpstr>
      <vt:lpstr>5.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Cover</cp:lastModifiedBy>
  <dcterms:created xsi:type="dcterms:W3CDTF">2026-02-25T15:59:21Z</dcterms:created>
  <dcterms:modified xsi:type="dcterms:W3CDTF">2026-02-28T14:49:15Z</dcterms:modified>
</cp:coreProperties>
</file>